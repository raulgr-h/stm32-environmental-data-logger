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aulgradillo/Library/Mobile Documents/com~apple~CloudDocs/Personal Projects/stm32-environmental-data-logger/test/ate/"/>
    </mc:Choice>
  </mc:AlternateContent>
  <xr:revisionPtr revIDLastSave="0" documentId="8_{75CCBE07-F291-B44E-9E2C-3E3BA2B8D14D}" xr6:coauthVersionLast="47" xr6:coauthVersionMax="47" xr10:uidLastSave="{00000000-0000-0000-0000-000000000000}"/>
  <bookViews>
    <workbookView xWindow="0" yWindow="600" windowWidth="28800" windowHeight="17400" activeTab="3" xr2:uid="{BC514A2A-6995-C64A-84EB-3980C71EB2C5}"/>
  </bookViews>
  <sheets>
    <sheet name="Test_Summary" sheetId="6" r:id="rId1"/>
    <sheet name="Raw_Data" sheetId="1" r:id="rId2"/>
    <sheet name="Controls" sheetId="2" r:id="rId3"/>
    <sheet name="Engineering_Summary" sheetId="4" r:id="rId4"/>
  </sheets>
  <calcPr calcId="191029"/>
  <pivotCaches>
    <pivotCache cacheId="4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J13" i="4"/>
  <c r="J12" i="4"/>
  <c r="J8" i="4"/>
  <c r="J7" i="4"/>
  <c r="J6" i="4"/>
  <c r="J5" i="4"/>
  <c r="J4" i="4"/>
  <c r="J3" i="4"/>
  <c r="E9" i="4"/>
  <c r="E8" i="4"/>
  <c r="E6" i="4"/>
  <c r="E5" i="4"/>
  <c r="E4" i="4"/>
  <c r="E3" i="4"/>
  <c r="G9" i="4"/>
  <c r="G8" i="4"/>
  <c r="G7" i="4"/>
  <c r="G6" i="4"/>
  <c r="G5" i="4"/>
  <c r="G4" i="4"/>
  <c r="F9" i="4"/>
  <c r="F8" i="4"/>
  <c r="F7" i="4"/>
  <c r="F6" i="4"/>
  <c r="F5" i="4"/>
  <c r="F4" i="4"/>
  <c r="G3" i="4"/>
  <c r="F3" i="4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W2" i="1"/>
  <c r="X2" i="1" s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AC3" i="1" l="1"/>
  <c r="AC6" i="1"/>
  <c r="AC9" i="1"/>
  <c r="AC12" i="1"/>
  <c r="AC14" i="1"/>
  <c r="AC16" i="1"/>
  <c r="AC18" i="1"/>
  <c r="AC20" i="1"/>
  <c r="AC24" i="1"/>
  <c r="AC25" i="1"/>
  <c r="AC28" i="1"/>
  <c r="AC30" i="1"/>
  <c r="AC31" i="1"/>
  <c r="AC33" i="1"/>
  <c r="AC34" i="1"/>
  <c r="AC38" i="1"/>
  <c r="AC40" i="1"/>
  <c r="AC41" i="1"/>
  <c r="AC42" i="1"/>
  <c r="AC44" i="1"/>
  <c r="AC46" i="1"/>
  <c r="AC47" i="1"/>
  <c r="AC2" i="1"/>
  <c r="AC4" i="1"/>
  <c r="AC5" i="1"/>
  <c r="AC7" i="1"/>
  <c r="AC10" i="1"/>
  <c r="AC11" i="1"/>
  <c r="AC13" i="1"/>
  <c r="AC15" i="1"/>
  <c r="AC17" i="1"/>
  <c r="AC19" i="1"/>
  <c r="AC21" i="1"/>
  <c r="AC26" i="1"/>
  <c r="AC27" i="1"/>
  <c r="AC29" i="1"/>
  <c r="AC32" i="1"/>
  <c r="AC35" i="1"/>
  <c r="AC37" i="1"/>
  <c r="AC39" i="1"/>
  <c r="AC43" i="1"/>
  <c r="AC45" i="1"/>
  <c r="AC48" i="1"/>
  <c r="AC8" i="1"/>
  <c r="AC22" i="1"/>
  <c r="AC23" i="1"/>
  <c r="AC36" i="1"/>
</calcChain>
</file>

<file path=xl/sharedStrings.xml><?xml version="1.0" encoding="utf-8"?>
<sst xmlns="http://schemas.openxmlformats.org/spreadsheetml/2006/main" count="229" uniqueCount="163">
  <si>
    <t>timestamp</t>
  </si>
  <si>
    <t>test_name</t>
  </si>
  <si>
    <t>repeat</t>
  </si>
  <si>
    <t>dio</t>
  </si>
  <si>
    <t>load_resistance_ohm</t>
  </si>
  <si>
    <t>pulse_requested_ms</t>
  </si>
  <si>
    <t>pulse_actual_ms</t>
  </si>
  <si>
    <t>aborted</t>
  </si>
  <si>
    <t>lost_samples</t>
  </si>
  <si>
    <t>corrupted_samples</t>
  </si>
  <si>
    <t>baseline_vbat_V</t>
  </si>
  <si>
    <t>vbat_min_V</t>
  </si>
  <si>
    <t>battery_droop_mV</t>
  </si>
  <si>
    <t>time_min_after_load_on_ms</t>
  </si>
  <si>
    <t>avg_added_current_mA</t>
  </si>
  <si>
    <t>max_added_current_mA</t>
  </si>
  <si>
    <t>avg_total_current_mA</t>
  </si>
  <si>
    <t>max_total_current_mA</t>
  </si>
  <si>
    <t>vpcb_min_V</t>
  </si>
  <si>
    <t>immediate_recovery_vbat_V</t>
  </si>
  <si>
    <t>waveform_file</t>
  </si>
  <si>
    <t>2026-08-21T12:09:03</t>
  </si>
  <si>
    <t>550ohm_10ms</t>
  </si>
  <si>
    <t>results/focused_pulse/waveforms/550ohm_10ms_repeat1.csv</t>
  </si>
  <si>
    <t>2026-08-21T12:10:09</t>
  </si>
  <si>
    <t>results/focused_pulse/waveforms/550ohm_10ms_repeat2.csv</t>
  </si>
  <si>
    <t>2026-08-21T12:11:15</t>
  </si>
  <si>
    <t>results/focused_pulse/waveforms/550ohm_10ms_repeat3.csv</t>
  </si>
  <si>
    <t>2026-08-21T12:12:21</t>
  </si>
  <si>
    <t>results/focused_pulse/waveforms/550ohm_10ms_repeat4.csv</t>
  </si>
  <si>
    <t>2026-08-21T12:13:27</t>
  </si>
  <si>
    <t>results/focused_pulse/waveforms/550ohm_10ms_repeat5.csv</t>
  </si>
  <si>
    <t>2026-08-21T12:14:33</t>
  </si>
  <si>
    <t>550ohm_100ms</t>
  </si>
  <si>
    <t>results/focused_pulse/waveforms/550ohm_100ms_repeat1.csv</t>
  </si>
  <si>
    <t>2026-08-21T12:15:39</t>
  </si>
  <si>
    <t>results/focused_pulse/waveforms/550ohm_100ms_repeat2.csv</t>
  </si>
  <si>
    <t>2026-08-21T12:16:45</t>
  </si>
  <si>
    <t>results/focused_pulse/waveforms/550ohm_100ms_repeat3.csv</t>
  </si>
  <si>
    <t>2026-08-21T12:17:51</t>
  </si>
  <si>
    <t>results/focused_pulse/waveforms/550ohm_100ms_repeat4.csv</t>
  </si>
  <si>
    <t>2026-08-21T12:18:57</t>
  </si>
  <si>
    <t>results/focused_pulse/waveforms/550ohm_100ms_repeat5.csv</t>
  </si>
  <si>
    <t>2026-08-21T12:20:03</t>
  </si>
  <si>
    <t>329ohm_10ms</t>
  </si>
  <si>
    <t>results/focused_pulse/waveforms/329ohm_10ms_repeat1.csv</t>
  </si>
  <si>
    <t>2026-08-21T12:21:09</t>
  </si>
  <si>
    <t>results/focused_pulse/waveforms/329ohm_10ms_repeat2.csv</t>
  </si>
  <si>
    <t>2026-08-21T12:22:15</t>
  </si>
  <si>
    <t>results/focused_pulse/waveforms/329ohm_10ms_repeat3.csv</t>
  </si>
  <si>
    <t>2026-08-21T12:23:21</t>
  </si>
  <si>
    <t>results/focused_pulse/waveforms/329ohm_10ms_repeat4.csv</t>
  </si>
  <si>
    <t>2026-08-21T12:24:27</t>
  </si>
  <si>
    <t>results/focused_pulse/waveforms/329ohm_10ms_repeat5.csv</t>
  </si>
  <si>
    <t>2026-08-21T12:25:33</t>
  </si>
  <si>
    <t>329ohm_100ms</t>
  </si>
  <si>
    <t>results/focused_pulse/waveforms/329ohm_100ms_repeat1.csv</t>
  </si>
  <si>
    <t>2026-08-21T12:26:39</t>
  </si>
  <si>
    <t>results/focused_pulse/waveforms/329ohm_100ms_repeat2.csv</t>
  </si>
  <si>
    <t>2026-08-21T12:27:45</t>
  </si>
  <si>
    <t>results/focused_pulse/waveforms/329ohm_100ms_repeat3.csv</t>
  </si>
  <si>
    <t>2026-08-21T12:28:51</t>
  </si>
  <si>
    <t>results/focused_pulse/waveforms/329ohm_100ms_repeat4.csv</t>
  </si>
  <si>
    <t>2026-08-21T12:29:57</t>
  </si>
  <si>
    <t>results/focused_pulse/waveforms/329ohm_100ms_repeat5.csv</t>
  </si>
  <si>
    <t>2026-08-21T12:31:03</t>
  </si>
  <si>
    <t>220ohm_10ms</t>
  </si>
  <si>
    <t>results/focused_pulse/waveforms/220ohm_10ms_repeat1.csv</t>
  </si>
  <si>
    <t>2026-08-21T12:32:09</t>
  </si>
  <si>
    <t>results/focused_pulse/waveforms/220ohm_10ms_repeat2.csv</t>
  </si>
  <si>
    <t>2026-08-21T12:33:15</t>
  </si>
  <si>
    <t>results/focused_pulse/waveforms/220ohm_10ms_repeat3.csv</t>
  </si>
  <si>
    <t>2026-08-21T12:34:21</t>
  </si>
  <si>
    <t>results/focused_pulse/waveforms/220ohm_10ms_repeat4.csv</t>
  </si>
  <si>
    <t>2026-08-21T12:35:27</t>
  </si>
  <si>
    <t>results/focused_pulse/waveforms/220ohm_10ms_repeat5.csv</t>
  </si>
  <si>
    <t>2026-08-21T12:44:54</t>
  </si>
  <si>
    <t>2026-08-21T12:46:00</t>
  </si>
  <si>
    <t>2026-08-21T12:47:06</t>
  </si>
  <si>
    <t>2026-08-21T12:48:12</t>
  </si>
  <si>
    <t>2026-08-21T12:49:18</t>
  </si>
  <si>
    <t>2026-08-21T12:50:24</t>
  </si>
  <si>
    <t>2026-08-21T12:51:30</t>
  </si>
  <si>
    <t>2026-08-21T12:52:36</t>
  </si>
  <si>
    <t>2026-08-21T12:53:42</t>
  </si>
  <si>
    <t>2026-08-21T12:54:48</t>
  </si>
  <si>
    <t>2026-08-21T12:55:54</t>
  </si>
  <si>
    <t>2026-08-21T12:57:00</t>
  </si>
  <si>
    <t>Description</t>
  </si>
  <si>
    <t>Value</t>
  </si>
  <si>
    <t>VBAT minimum threshold (V)</t>
  </si>
  <si>
    <t>Allowed pulse timing error</t>
  </si>
  <si>
    <t>Provisional BLE inrush target (mA)</t>
  </si>
  <si>
    <t>BLE rail capacitance (µF)</t>
  </si>
  <si>
    <t>Battery_Condition</t>
  </si>
  <si>
    <t>Pulse_Error_pct</t>
  </si>
  <si>
    <t>Auto_Valid</t>
  </si>
  <si>
    <t>Manual_Status</t>
  </si>
  <si>
    <t>Final_Valid</t>
  </si>
  <si>
    <t>VBAT_Margin_V</t>
  </si>
  <si>
    <t>Droop_pct</t>
  </si>
  <si>
    <t>Pass_Fail</t>
  </si>
  <si>
    <t>Row Labels</t>
  </si>
  <si>
    <t>Aged ~2.90V</t>
  </si>
  <si>
    <t>Fresh ~3.05V</t>
  </si>
  <si>
    <t>Grand Total</t>
  </si>
  <si>
    <t>Average of avg_added_current_mA</t>
  </si>
  <si>
    <t>Average of battery_droop_mV</t>
  </si>
  <si>
    <t>Average of vbat_min_V</t>
  </si>
  <si>
    <t>Count of repeat</t>
  </si>
  <si>
    <t>Average of vpcb_min_V</t>
  </si>
  <si>
    <t>Min of vbat_min_V</t>
  </si>
  <si>
    <t>StdDev of vbat_min_V</t>
  </si>
  <si>
    <t>Battery</t>
  </si>
  <si>
    <t>Test</t>
  </si>
  <si>
    <t>Avg Current (mA)</t>
  </si>
  <si>
    <t>Avg VBAT Min (V)</t>
  </si>
  <si>
    <t>550 Ω / 10 ms</t>
  </si>
  <si>
    <t>996 Ω / 100 ms</t>
  </si>
  <si>
    <t>996 Ω / 10 ms</t>
  </si>
  <si>
    <t>220 Ω / 10 ms</t>
  </si>
  <si>
    <t>329 Ω / 100 ms</t>
  </si>
  <si>
    <t>329 Ω / 10 ms</t>
  </si>
  <si>
    <t>550 Ω / 100 ms</t>
  </si>
  <si>
    <t xml:space="preserve">Aged </t>
  </si>
  <si>
    <t>Fresh</t>
  </si>
  <si>
    <t>2026-08-21T13:17:27</t>
  </si>
  <si>
    <t>996ohm_10ms</t>
  </si>
  <si>
    <t>results/focused_pulse/waveforms/996ohm_10ms_repeat1.csv</t>
  </si>
  <si>
    <t>2026-08-21T13:18:32</t>
  </si>
  <si>
    <t>results/focused_pulse/waveforms/996ohm_10ms_repeat2.csv</t>
  </si>
  <si>
    <t>2026-08-21T13:19:38</t>
  </si>
  <si>
    <t>results/focused_pulse/waveforms/996ohm_10ms_repeat3.csv</t>
  </si>
  <si>
    <t>2026-08-21T13:20:44</t>
  </si>
  <si>
    <t>results/focused_pulse/waveforms/996ohm_10ms_repeat4.csv</t>
  </si>
  <si>
    <t>2026-08-21T13:21:50</t>
  </si>
  <si>
    <t>results/focused_pulse/waveforms/996ohm_10ms_repeat5.csv</t>
  </si>
  <si>
    <t>2026-08-21T13:22:56</t>
  </si>
  <si>
    <t>996ohm_100ms</t>
  </si>
  <si>
    <t>results/focused_pulse/waveforms/996ohm_100ms_repeat1.csv</t>
  </si>
  <si>
    <t>2026-08-21T13:24:02</t>
  </si>
  <si>
    <t>results/focused_pulse/waveforms/996ohm_100ms_repeat2.csv</t>
  </si>
  <si>
    <t>2026-08-21T13:25:08</t>
  </si>
  <si>
    <t>results/focused_pulse/waveforms/996ohm_100ms_repeat3.csv</t>
  </si>
  <si>
    <t>2026-08-21T13:26:14</t>
  </si>
  <si>
    <t>results/focused_pulse/waveforms/996ohm_100ms_repeat4.csv</t>
  </si>
  <si>
    <t>2026-08-21T13:27:21</t>
  </si>
  <si>
    <t>results/focused_pulse/waveforms/996ohm_100ms_repeat5.csv</t>
  </si>
  <si>
    <t>Exclude</t>
  </si>
  <si>
    <t>TRUE</t>
  </si>
  <si>
    <t>Avg Droop (mV)</t>
  </si>
  <si>
    <t>VBAT Margin (V)</t>
  </si>
  <si>
    <t>Status</t>
  </si>
  <si>
    <t>Rev B Design Decision</t>
  </si>
  <si>
    <t>VBAT Design Threshold</t>
  </si>
  <si>
    <t>Aged 100 ms Demonstrated Load</t>
  </si>
  <si>
    <t>Aged VBAT Minimum</t>
  </si>
  <si>
    <t>Provisional BLE Inrush Target</t>
  </si>
  <si>
    <t>BLE Rail Capacitance</t>
  </si>
  <si>
    <t>Proposed TPS22917 CT</t>
  </si>
  <si>
    <t>Rev B Verification Required</t>
  </si>
  <si>
    <t>Proposed TPS22917 CT (nF)</t>
  </si>
  <si>
    <t>CR2032 Pulse-Load Characterization — Rev B Power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</si>
</sst>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.000%"/>
    <numFmt numFmtId="171" formatCode="0.000\ \V"/>
    <numFmt numFmtId="172" formatCode="0.0\ \µ\F"/>
    <numFmt numFmtId="173" formatCode="0.000"/>
    <numFmt numFmtId="17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9" fontId="0" fillId="0" borderId="0" xfId="0" applyNumberFormat="1"/>
    <xf numFmtId="9" fontId="16" fillId="0" borderId="0" xfId="0" applyNumberFormat="1" applyFont="1"/>
    <xf numFmtId="0" fontId="16" fillId="33" borderId="0" xfId="0" applyFont="1" applyFill="1"/>
    <xf numFmtId="168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quotePrefix="1" applyNumberFormat="1"/>
    <xf numFmtId="171" fontId="0" fillId="0" borderId="0" xfId="0" applyNumberFormat="1"/>
    <xf numFmtId="172" fontId="0" fillId="0" borderId="0" xfId="0" applyNumberFormat="1"/>
    <xf numFmtId="2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168" formatCode="0.000%"/>
    </dxf>
    <dxf>
      <numFmt numFmtId="168" formatCode="0.0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Minimum Battery Voltage vs. Added Load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Fresh CR2032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Engineering_Summary!$C$3:$C$7</c:f>
              <c:numCache>
                <c:formatCode>0.00</c:formatCode>
                <c:ptCount val="5"/>
                <c:pt idx="0">
                  <c:v>6.7888107121451053</c:v>
                </c:pt>
                <c:pt idx="1">
                  <c:v>7.022302051752634</c:v>
                </c:pt>
                <c:pt idx="2">
                  <c:v>9.6075543432240114</c:v>
                </c:pt>
                <c:pt idx="3">
                  <c:v>10.077589547103994</c:v>
                </c:pt>
                <c:pt idx="4">
                  <c:v>14.90626449885248</c:v>
                </c:pt>
              </c:numCache>
            </c:numRef>
          </c:xVal>
          <c:yVal>
            <c:numRef>
              <c:f>Engineering_Summary!$D$3:$D$7</c:f>
              <c:numCache>
                <c:formatCode>0.000</c:formatCode>
                <c:ptCount val="5"/>
                <c:pt idx="0">
                  <c:v>2.9590188559387776</c:v>
                </c:pt>
                <c:pt idx="1">
                  <c:v>2.9562726156839898</c:v>
                </c:pt>
                <c:pt idx="2">
                  <c:v>2.9299087092380423</c:v>
                </c:pt>
                <c:pt idx="3">
                  <c:v>2.9203884096881199</c:v>
                </c:pt>
                <c:pt idx="4">
                  <c:v>2.8713222504692797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B-D240-BA4B-D75213D2F7AF}"/>
            </c:ext>
          </c:extLst>
        </c:ser>
        <c:ser>
          <c:idx val="1"/>
          <c:order val="1"/>
          <c:tx>
            <c:v>Aged CR2032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Engineering_Summary!$C$8:$C$9</c:f>
              <c:numCache>
                <c:formatCode>0.00</c:formatCode>
                <c:ptCount val="2"/>
                <c:pt idx="0">
                  <c:v>2.7122853256860657</c:v>
                </c:pt>
                <c:pt idx="1">
                  <c:v>2.6903259904189927</c:v>
                </c:pt>
              </c:numCache>
            </c:numRef>
          </c:xVal>
          <c:yVal>
            <c:numRef>
              <c:f>Engineering_Summary!$D$8:$D$9</c:f>
              <c:numCache>
                <c:formatCode>0.000</c:formatCode>
                <c:ptCount val="2"/>
                <c:pt idx="0">
                  <c:v>2.5000305680222064</c:v>
                </c:pt>
                <c:pt idx="1">
                  <c:v>2.4802576381877501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9B-D240-BA4B-D75213D2F7AF}"/>
            </c:ext>
          </c:extLst>
        </c:ser>
        <c:ser>
          <c:idx val="2"/>
          <c:order val="2"/>
          <c:tx>
            <c:v>2.40 V Design Threshold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Engineering_Summary!$I$12:$I$13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Engineering_Summary!$J$12:$J$13</c:f>
              <c:numCache>
                <c:formatCode>General</c:formatCode>
                <c:ptCount val="2"/>
                <c:pt idx="0">
                  <c:v>2.4</c:v>
                </c:pt>
                <c:pt idx="1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9B-D240-BA4B-D75213D2F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821759"/>
        <c:axId val="263993343"/>
      </c:scatterChart>
      <c:valAx>
        <c:axId val="26482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Added Load Current (mA)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93343"/>
        <c:crosses val="autoZero"/>
        <c:crossBetween val="midCat"/>
      </c:valAx>
      <c:valAx>
        <c:axId val="26399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Minimum Battery 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821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CR2032 Voltage Droop</a:t>
            </a:r>
            <a:r>
              <a:rPr lang="en-US" baseline="0"/>
              <a:t> vs. Added Load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Fresh CR2032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Engineering_Summary!$C$3:$C$7</c:f>
              <c:numCache>
                <c:formatCode>0.00</c:formatCode>
                <c:ptCount val="5"/>
                <c:pt idx="0">
                  <c:v>6.7888107121451053</c:v>
                </c:pt>
                <c:pt idx="1">
                  <c:v>7.022302051752634</c:v>
                </c:pt>
                <c:pt idx="2">
                  <c:v>9.6075543432240114</c:v>
                </c:pt>
                <c:pt idx="3">
                  <c:v>10.077589547103994</c:v>
                </c:pt>
                <c:pt idx="4">
                  <c:v>14.90626449885248</c:v>
                </c:pt>
              </c:numCache>
            </c:numRef>
          </c:xVal>
          <c:yVal>
            <c:numRef>
              <c:f>Engineering_Summary!$E$3:$E$7</c:f>
              <c:numCache>
                <c:formatCode>0.0</c:formatCode>
                <c:ptCount val="5"/>
                <c:pt idx="0">
                  <c:v>87.039796341897244</c:v>
                </c:pt>
                <c:pt idx="1">
                  <c:v>90.143615386124452</c:v>
                </c:pt>
                <c:pt idx="2">
                  <c:v>116.88166960438181</c:v>
                </c:pt>
                <c:pt idx="3">
                  <c:v>124.750416881615</c:v>
                </c:pt>
                <c:pt idx="4">
                  <c:v>174.07208629376382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A-AE49-9057-D2E4767D8165}"/>
            </c:ext>
          </c:extLst>
        </c:ser>
        <c:ser>
          <c:idx val="1"/>
          <c:order val="1"/>
          <c:tx>
            <c:v>Aged CR2032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Engineering_Summary!$C$8:$C$9</c:f>
              <c:numCache>
                <c:formatCode>0.00</c:formatCode>
                <c:ptCount val="2"/>
                <c:pt idx="0">
                  <c:v>2.7122853256860657</c:v>
                </c:pt>
                <c:pt idx="1">
                  <c:v>2.6903259904189927</c:v>
                </c:pt>
              </c:numCache>
            </c:numRef>
          </c:xVal>
          <c:yVal>
            <c:numRef>
              <c:f>Engineering_Summary!$E$8:$E$9</c:f>
              <c:numCache>
                <c:formatCode>0.0</c:formatCode>
                <c:ptCount val="2"/>
                <c:pt idx="0">
                  <c:v>408.08925133514464</c:v>
                </c:pt>
                <c:pt idx="1">
                  <c:v>427.34619924226598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6A-AE49-9057-D2E4767D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989311"/>
        <c:axId val="264826239"/>
      </c:scatterChart>
      <c:valAx>
        <c:axId val="26398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Added Load Current (mA)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826239"/>
        <c:crosses val="autoZero"/>
        <c:crossBetween val="midCat"/>
      </c:valAx>
      <c:valAx>
        <c:axId val="2648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Battery Droop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8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528509</xdr:colOff>
      <xdr:row>10</xdr:row>
      <xdr:rowOff>170542</xdr:rowOff>
    </xdr:from>
    <xdr:to>
      <xdr:col>6</xdr:col>
      <xdr:colOff>99391</xdr:colOff>
      <xdr:row>24</xdr:row>
      <xdr:rowOff>42438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BA952-047D-4554-0FC3-0B34C4101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190893</xdr:colOff>
      <xdr:row>10</xdr:row>
      <xdr:rowOff>170544</xdr:rowOff>
    </xdr:from>
    <xdr:to>
      <xdr:col>10</xdr:col>
      <xdr:colOff>14198</xdr:colOff>
      <xdr:row>24</xdr:row>
      <xdr:rowOff>42440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D63761-FAF9-6E20-4089-8772019E6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255.63369166667" createdVersion="8" refreshedVersion="8" minRefreshableVersion="3" recordCount="47" xr:uid="{413BBA47-B90D-C54E-A6F0-91BE63E66A58}">
  <cacheSource type="worksheet">
    <worksheetSource name="tblATE"/>
  </cacheSource>
  <cacheFields count="29">
    <cacheField name="timestamp" numFmtId="0">
      <sharedItems/>
    </cacheField>
    <cacheField name="test_name" numFmtId="0">
      <sharedItems containsBlank="1" count="8">
        <s v="550ohm_10ms"/>
        <s v="550ohm_100ms"/>
        <s v="329ohm_10ms"/>
        <s v="329ohm_100ms"/>
        <s v="220ohm_10ms"/>
        <s v="996ohm_10ms"/>
        <s v="996ohm_100ms"/>
        <m u="1"/>
      </sharedItems>
    </cacheField>
    <cacheField name="repeat" numFmtId="0">
      <sharedItems containsSemiMixedTypes="0" containsString="0" containsNumber="1" containsInteger="1" minValue="1" maxValue="5"/>
    </cacheField>
    <cacheField name="dio" numFmtId="0">
      <sharedItems containsSemiMixedTypes="0" containsString="0" containsNumber="1" containsInteger="1" minValue="0" maxValue="3"/>
    </cacheField>
    <cacheField name="load_resistance_ohm" numFmtId="0">
      <sharedItems containsSemiMixedTypes="0" containsString="0" containsNumber="1" minValue="220.3" maxValue="996"/>
    </cacheField>
    <cacheField name="pulse_requested_ms" numFmtId="0">
      <sharedItems containsSemiMixedTypes="0" containsString="0" containsNumber="1" containsInteger="1" minValue="10" maxValue="100"/>
    </cacheField>
    <cacheField name="pulse_actual_ms" numFmtId="0">
      <sharedItems containsSemiMixedTypes="0" containsString="0" containsNumber="1" minValue="5.0978339277207798" maxValue="102.38024999853199"/>
    </cacheField>
    <cacheField name="aborted" numFmtId="0">
      <sharedItems/>
    </cacheField>
    <cacheField name="lost_samples" numFmtId="0">
      <sharedItems containsSemiMixedTypes="0" containsString="0" containsNumber="1" containsInteger="1" minValue="0" maxValue="0"/>
    </cacheField>
    <cacheField name="corrupted_samples" numFmtId="0">
      <sharedItems containsSemiMixedTypes="0" containsString="0" containsNumber="1" containsInteger="1" minValue="0" maxValue="0"/>
    </cacheField>
    <cacheField name="baseline_vbat_V" numFmtId="0">
      <sharedItems containsSemiMixedTypes="0" containsString="0" containsNumber="1" minValue="2.77140597436208" maxValue="3.0473588139586298"/>
    </cacheField>
    <cacheField name="vbat_min_V" numFmtId="0">
      <sharedItems containsSemiMixedTypes="0" containsString="0" containsNumber="1" minValue="2.2971749545353499" maxValue="2.9635959230300899"/>
    </cacheField>
    <cacheField name="battery_droop_mV" numFmtId="0">
      <sharedItems containsSemiMixedTypes="0" containsString="0" containsNumber="1" minValue="83.688193193614396" maxValue="609.45003132652005"/>
    </cacheField>
    <cacheField name="time_min_after_load_on_ms" numFmtId="0">
      <sharedItems containsSemiMixedTypes="0" containsString="0" containsNumber="1" minValue="3.5961250458285101" maxValue="96.080707997866"/>
    </cacheField>
    <cacheField name="avg_added_current_mA" numFmtId="0">
      <sharedItems containsSemiMixedTypes="0" containsString="0" containsNumber="1" minValue="2.6532749687682502" maxValue="15.0575197179596"/>
    </cacheField>
    <cacheField name="max_added_current_mA" numFmtId="0">
      <sharedItems containsSemiMixedTypes="0" containsString="0" containsNumber="1" minValue="3.3443424751355799" maxValue="16.706671123229899"/>
    </cacheField>
    <cacheField name="avg_total_current_mA" numFmtId="0">
      <sharedItems containsSemiMixedTypes="0" containsString="0" containsNumber="1" minValue="2.55109131691888" maxValue="15.0740844581172"/>
    </cacheField>
    <cacheField name="max_total_current_mA" numFmtId="0">
      <sharedItems containsSemiMixedTypes="0" containsString="0" containsNumber="1" minValue="3.2821166545978002" maxValue="16.723235863387501"/>
    </cacheField>
    <cacheField name="vpcb_min_V" numFmtId="0">
      <sharedItems containsSemiMixedTypes="0" containsString="0" containsNumber="1" minValue="2.2934000632282201" maxValue="2.95948180347626"/>
    </cacheField>
    <cacheField name="immediate_recovery_vbat_V" numFmtId="0">
      <sharedItems containsSemiMixedTypes="0" containsString="0" containsNumber="1" minValue="2.7179831796030398" maxValue="3.0474844086796198"/>
    </cacheField>
    <cacheField name="waveform_file" numFmtId="0">
      <sharedItems/>
    </cacheField>
    <cacheField name="Battery_Condition" numFmtId="0">
      <sharedItems count="2">
        <s v="Fresh ~3.05V"/>
        <s v="Aged ~2.90V"/>
      </sharedItems>
    </cacheField>
    <cacheField name="Pulse_Error_pct" numFmtId="168">
      <sharedItems containsSemiMixedTypes="0" containsString="0" containsNumber="1" minValue="5.2833906374004868E-4" maxValue="3.0263666072860302"/>
    </cacheField>
    <cacheField name="Auto_Valid" numFmtId="0">
      <sharedItems/>
    </cacheField>
    <cacheField name="Manual_Status" numFmtId="0">
      <sharedItems containsBlank="1"/>
    </cacheField>
    <cacheField name="Final_Valid" numFmtId="0">
      <sharedItems count="4">
        <b v="0"/>
        <b v="1"/>
        <e v="#NAME?" u="1"/>
        <e v="#DIV/0!" u="1"/>
      </sharedItems>
    </cacheField>
    <cacheField name="VBAT_Margin_V" numFmtId="0">
      <sharedItems containsSemiMixedTypes="0" containsString="0" containsNumber="1" minValue="-0.10282504546464999" maxValue="0.56359592303008998"/>
    </cacheField>
    <cacheField name="Droop_pct" numFmtId="168">
      <sharedItems containsSemiMixedTypes="0" containsString="0" containsNumber="1" minValue="2.7463206580594035E-2" maxValue="0.20967618261418286"/>
    </cacheField>
    <cacheField name="Pass_F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2026-08-21T12:09:03"/>
    <x v="0"/>
    <n v="1"/>
    <n v="1"/>
    <n v="550.4"/>
    <n v="10"/>
    <n v="40.263666072860303"/>
    <b v="0"/>
    <n v="0"/>
    <n v="0"/>
    <n v="3.0461918449330301"/>
    <n v="2.9599342693570398"/>
    <n v="86.257575575992007"/>
    <n v="9.7463750099390793"/>
    <n v="7.0174200748473297"/>
    <n v="7.9189953951823702"/>
    <n v="6.8609144038593302"/>
    <n v="7.7624897241943698"/>
    <n v="2.95582014980321"/>
    <n v="3.0453276946661898"/>
    <s v="results/focused_pulse/waveforms/550ohm_10ms_repeat1.csv"/>
    <x v="0"/>
    <n v="3.0263666072860302"/>
    <b v="0"/>
    <m/>
    <x v="0"/>
    <n v="0.55993426935703994"/>
    <n v="2.8316527640723285E-2"/>
    <s v="INVALID"/>
  </r>
  <r>
    <s v="2026-08-21T12:10:09"/>
    <x v="0"/>
    <n v="2"/>
    <n v="1"/>
    <n v="550.4"/>
    <n v="10"/>
    <n v="9.2250420711934495"/>
    <b v="0"/>
    <n v="0"/>
    <n v="0"/>
    <n v="3.0450406210182202"/>
    <n v="2.9526109620109402"/>
    <n v="92.429659007282098"/>
    <n v="4.2628329875692899"/>
    <n v="6.6654629429591701"/>
    <n v="7.6744310309119701"/>
    <n v="6.7535216362415804"/>
    <n v="7.7624897241943698"/>
    <n v="2.9484968424571201"/>
    <n v="3.0453679728565901"/>
    <s v="results/focused_pulse/waveforms/550ohm_10ms_repeat2.csv"/>
    <x v="0"/>
    <n v="7.7495792880655043E-2"/>
    <b v="1"/>
    <m/>
    <x v="1"/>
    <n v="0.55261096201094029"/>
    <n v="3.0354162886790943E-2"/>
    <s v="PASS"/>
  </r>
  <r>
    <s v="2026-08-21T12:11:15"/>
    <x v="0"/>
    <n v="3"/>
    <n v="1"/>
    <n v="550.4"/>
    <n v="10"/>
    <n v="9.0364579809829593"/>
    <b v="0"/>
    <n v="0"/>
    <n v="0"/>
    <n v="3.0472841162236999"/>
    <n v="2.9635959230300899"/>
    <n v="83.688193193614396"/>
    <n v="3.5961250458285101"/>
    <n v="6.7615847549710697"/>
    <n v="7.75635785275602"/>
    <n v="6.7677166264094204"/>
    <n v="7.7624897241943698"/>
    <n v="2.95948180347626"/>
    <n v="3.0465653336076799"/>
    <s v="results/focused_pulse/waveforms/550ohm_10ms_repeat3.csv"/>
    <x v="0"/>
    <n v="9.6354201901704073E-2"/>
    <b v="1"/>
    <m/>
    <x v="1"/>
    <n v="0.56359592303008998"/>
    <n v="2.7463206580594035E-2"/>
    <s v="PASS"/>
  </r>
  <r>
    <s v="2026-08-21T12:12:21"/>
    <x v="0"/>
    <n v="4"/>
    <n v="1"/>
    <n v="550.4"/>
    <n v="10"/>
    <n v="12.043167022056799"/>
    <b v="0"/>
    <n v="0"/>
    <n v="0"/>
    <n v="3.0473588139586298"/>
    <n v="2.9599342693570398"/>
    <n v="87.424544601593098"/>
    <n v="5.1482499775290496"/>
    <n v="6.8615412306297596"/>
    <n v="7.7317798062028"/>
    <n v="6.8922511486213303"/>
    <n v="7.7624897241943698"/>
    <n v="2.95582014980321"/>
    <n v="3.0469241756676402"/>
    <s v="results/focused_pulse/waveforms/550ohm_10ms_repeat4.csv"/>
    <x v="0"/>
    <n v="0.20431670220567993"/>
    <b v="1"/>
    <m/>
    <x v="1"/>
    <n v="0.55993426935703994"/>
    <n v="2.8688628395559839E-2"/>
    <s v="PASS"/>
  </r>
  <r>
    <s v="2026-08-21T12:13:27"/>
    <x v="0"/>
    <n v="5"/>
    <n v="1"/>
    <n v="550.4"/>
    <n v="10"/>
    <n v="9.8205830436199903"/>
    <b v="0"/>
    <n v="0"/>
    <n v="0"/>
    <n v="3.0445510579221402"/>
    <n v="2.9599342693570398"/>
    <n v="84.616788565099398"/>
    <n v="5.4851249935478004"/>
    <n v="6.8666539200204202"/>
    <n v="7.8319481469730698"/>
    <n v="6.7971954972417201"/>
    <n v="7.7624897241943698"/>
    <n v="2.95582014980321"/>
    <n v="3.0466056117980802"/>
    <s v="results/focused_pulse/waveforms/550ohm_10ms_repeat5.csv"/>
    <x v="0"/>
    <n v="1.7941695638000965E-2"/>
    <b v="1"/>
    <m/>
    <x v="1"/>
    <n v="0.55993426935703994"/>
    <n v="2.7792862381112133E-2"/>
    <s v="PASS"/>
  </r>
  <r>
    <s v="2026-08-21T12:14:33"/>
    <x v="1"/>
    <n v="1"/>
    <n v="1"/>
    <n v="550.4"/>
    <n v="100"/>
    <n v="98.241167026571901"/>
    <b v="0"/>
    <n v="0"/>
    <n v="0"/>
    <n v="3.0465122396294202"/>
    <n v="2.9562726156839898"/>
    <n v="90.239623945431703"/>
    <n v="16.768959075883"/>
    <n v="6.9814783728013703"/>
    <n v="7.7032974345460801"/>
    <n v="7.04067066244966"/>
    <n v="7.7624897241943698"/>
    <n v="2.95249772437686"/>
    <n v="3.0448223864593098"/>
    <s v="results/focused_pulse/waveforms/550ohm_100ms_repeat1.csv"/>
    <x v="0"/>
    <n v="1.758832973428099E-2"/>
    <b v="1"/>
    <m/>
    <x v="1"/>
    <n v="0.55627261568398989"/>
    <n v="2.962063397336244E-2"/>
    <s v="PASS"/>
  </r>
  <r>
    <s v="2026-08-21T12:15:39"/>
    <x v="1"/>
    <n v="2"/>
    <n v="1"/>
    <n v="550.4"/>
    <n v="100"/>
    <n v="99.932041950523796"/>
    <b v="0"/>
    <n v="0"/>
    <n v="0"/>
    <n v="3.0464803832424701"/>
    <n v="2.9562726156839898"/>
    <n v="90.207767558476206"/>
    <n v="44.163583962954498"/>
    <n v="7.0251112200349501"/>
    <n v="8.2848498589797206"/>
    <n v="7.1428043809062602"/>
    <n v="8.4025430198510307"/>
    <n v="2.9521584961301701"/>
    <n v="3.0445880406242298"/>
    <s v="results/focused_pulse/waveforms/550ohm_100ms_repeat2.csv"/>
    <x v="0"/>
    <n v="6.7958049476203543E-4"/>
    <b v="1"/>
    <m/>
    <x v="1"/>
    <n v="0.55627261568398989"/>
    <n v="2.9610486926052379E-2"/>
    <s v="PASS"/>
  </r>
  <r>
    <s v="2026-08-21T12:16:45"/>
    <x v="1"/>
    <n v="3"/>
    <n v="1"/>
    <n v="550.4"/>
    <n v="100"/>
    <n v="100.14341701753401"/>
    <b v="0"/>
    <n v="0"/>
    <n v="0"/>
    <n v="3.0467985809466498"/>
    <n v="2.9562726156839898"/>
    <n v="90.5259652626644"/>
    <n v="36.540542085468701"/>
    <n v="7.0604743346151304"/>
    <n v="7.9021619935066001"/>
    <n v="6.9208020653029001"/>
    <n v="7.7624897241943698"/>
    <n v="2.9521584961301701"/>
    <n v="3.0446466270829999"/>
    <s v="results/focused_pulse/waveforms/550ohm_100ms_repeat3.csv"/>
    <x v="0"/>
    <n v="1.4341701753400572E-3"/>
    <b v="1"/>
    <m/>
    <x v="1"/>
    <n v="0.55627261568398989"/>
    <n v="2.9711831241085094E-2"/>
    <s v="PASS"/>
  </r>
  <r>
    <s v="2026-08-21T12:17:51"/>
    <x v="1"/>
    <n v="4"/>
    <n v="1"/>
    <n v="550.4"/>
    <n v="100"/>
    <n v="100.052833906374"/>
    <b v="0"/>
    <n v="0"/>
    <n v="0"/>
    <n v="3.0462983990549199"/>
    <n v="2.9562726156839898"/>
    <n v="90.025783370925694"/>
    <n v="23.254374972730801"/>
    <n v="6.9865912154602299"/>
    <n v="8.1896099285860107"/>
    <n v="7.1995243067252597"/>
    <n v="8.4025430198510307"/>
    <n v="2.9521584961301701"/>
    <n v="3.04395823619247"/>
    <s v="results/focused_pulse/waveforms/550ohm_100ms_repeat4.csv"/>
    <x v="0"/>
    <n v="5.2833906374004868E-4"/>
    <b v="1"/>
    <m/>
    <x v="1"/>
    <n v="0.55627261568398989"/>
    <n v="2.9552516391321081E-2"/>
    <s v="PASS"/>
  </r>
  <r>
    <s v="2026-08-21T12:18:57"/>
    <x v="1"/>
    <n v="5"/>
    <n v="1"/>
    <n v="550.4"/>
    <n v="100"/>
    <n v="99.247416947036896"/>
    <b v="0"/>
    <n v="0"/>
    <n v="0"/>
    <n v="3.0459915524771102"/>
    <n v="2.9562726156839898"/>
    <n v="89.7189367931243"/>
    <n v="25.2147089749574"/>
    <n v="7.0578551158514902"/>
    <n v="7.80199365273634"/>
    <n v="7.0183511873095297"/>
    <n v="7.7624897241943698"/>
    <n v="2.9521584961301701"/>
    <n v="3.0440387925732799"/>
    <s v="results/focused_pulse/waveforms/550ohm_100ms_repeat5.csv"/>
    <x v="0"/>
    <n v="7.5258305296310368E-3"/>
    <b v="1"/>
    <m/>
    <x v="1"/>
    <n v="0.55627261568398989"/>
    <n v="2.9454755618137426E-2"/>
    <s v="PASS"/>
  </r>
  <r>
    <s v="2026-08-21T12:20:03"/>
    <x v="2"/>
    <n v="1"/>
    <n v="2"/>
    <n v="329.5"/>
    <n v="10"/>
    <n v="8.7895418982952798"/>
    <b v="0"/>
    <n v="0"/>
    <n v="0"/>
    <n v="3.0471248342889199"/>
    <n v="2.9306410399726501"/>
    <n v="116.483794316268"/>
    <n v="4.6609999806806401"/>
    <n v="9.5107402225310995"/>
    <n v="10.8760416211161"/>
    <n v="9.5974548038926297"/>
    <n v="10.9627562024776"/>
    <n v="2.9248307791853398"/>
    <n v="3.0474844086796198"/>
    <s v="results/focused_pulse/waveforms/329ohm_10ms_repeat1.csv"/>
    <x v="0"/>
    <n v="0.12104581017047203"/>
    <b v="1"/>
    <m/>
    <x v="1"/>
    <n v="0.53064103997265022"/>
    <n v="3.822744411567594E-2"/>
    <s v="PASS"/>
  </r>
  <r>
    <s v="2026-08-21T12:21:09"/>
    <x v="2"/>
    <n v="2"/>
    <n v="2"/>
    <n v="329.5"/>
    <n v="10"/>
    <n v="10.750042041763599"/>
    <b v="0"/>
    <n v="0"/>
    <n v="0"/>
    <n v="3.0469351606286601"/>
    <n v="2.9306410399726501"/>
    <n v="116.29412065600501"/>
    <n v="5.7465000473708097"/>
    <n v="9.7066270375505006"/>
    <n v="10.981970441547199"/>
    <n v="9.6874127984808496"/>
    <n v="10.9627562024776"/>
    <n v="2.9251700074320399"/>
    <n v="3.04654336368564"/>
    <s v="results/focused_pulse/waveforms/329ohm_10ms_repeat2.csv"/>
    <x v="0"/>
    <n v="7.5004204176359932E-2"/>
    <b v="1"/>
    <m/>
    <x v="1"/>
    <n v="0.53064103997265022"/>
    <n v="3.8167573159650227E-2"/>
    <s v="PASS"/>
  </r>
  <r>
    <s v="2026-08-21T12:22:15"/>
    <x v="2"/>
    <n v="3"/>
    <n v="2"/>
    <n v="329.5"/>
    <n v="10"/>
    <n v="8.7257919367402792"/>
    <b v="0"/>
    <n v="0"/>
    <n v="0"/>
    <n v="3.0461944080905998"/>
    <n v="2.9306410399726501"/>
    <n v="115.553368117947"/>
    <n v="4.5473750038072502"/>
    <n v="9.6227884951823306"/>
    <n v="10.9726256634307"/>
    <n v="9.6129190342292699"/>
    <n v="10.9627562024776"/>
    <n v="2.9251700074320399"/>
    <n v="3.0464152058070901"/>
    <s v="results/focused_pulse/waveforms/329ohm_10ms_repeat3.csv"/>
    <x v="0"/>
    <n v="0.12742080632597208"/>
    <b v="1"/>
    <m/>
    <x v="1"/>
    <n v="0.53064103997265022"/>
    <n v="3.7933681386532907E-2"/>
    <s v="PASS"/>
  </r>
  <r>
    <s v="2026-08-21T12:23:21"/>
    <x v="2"/>
    <n v="4"/>
    <n v="2"/>
    <n v="329.5"/>
    <n v="10"/>
    <n v="10.8510000864043"/>
    <b v="0"/>
    <n v="0"/>
    <n v="0"/>
    <n v="3.0467872298202701"/>
    <n v="2.9306410399726501"/>
    <n v="116.146189847613"/>
    <n v="4.7707080490514402"/>
    <n v="9.5922270820087991"/>
    <n v="10.940110956011299"/>
    <n v="9.6148723284750996"/>
    <n v="10.9627562024776"/>
    <n v="2.9251700074320399"/>
    <n v="3.04586595775613"/>
    <s v="results/focused_pulse/waveforms/329ohm_10ms_repeat4.csv"/>
    <x v="0"/>
    <n v="8.5100008640429964E-2"/>
    <b v="1"/>
    <m/>
    <x v="1"/>
    <n v="0.53064103997265022"/>
    <n v="3.8120873263100971E-2"/>
    <s v="PASS"/>
  </r>
  <r>
    <s v="2026-08-21T12:24:27"/>
    <x v="2"/>
    <n v="5"/>
    <n v="2"/>
    <n v="329.5"/>
    <n v="10"/>
    <n v="10.513916960917401"/>
    <b v="0"/>
    <n v="0"/>
    <n v="0"/>
    <n v="3.04691026138368"/>
    <n v="2.9269793862996099"/>
    <n v="119.93087508407601"/>
    <n v="9.8765419957414498"/>
    <n v="9.6053888788473198"/>
    <n v="10.4847770414812"/>
    <n v="9.4433147441871093"/>
    <n v="10.322702906820901"/>
    <n v="2.9218475820056899"/>
    <n v="3.03474185389741"/>
    <s v="results/focused_pulse/waveforms/329ohm_10ms_repeat5.csv"/>
    <x v="0"/>
    <n v="5.1391696091740081E-2"/>
    <b v="1"/>
    <m/>
    <x v="1"/>
    <n v="0.52697938629960994"/>
    <n v="3.9361472703699621E-2"/>
    <s v="PASS"/>
  </r>
  <r>
    <s v="2026-08-21T12:25:33"/>
    <x v="3"/>
    <n v="1"/>
    <n v="2"/>
    <n v="329.5"/>
    <n v="100"/>
    <n v="101.425166008993"/>
    <b v="0"/>
    <n v="0"/>
    <n v="0"/>
    <n v="3.0460351261558198"/>
    <n v="2.9233177326265598"/>
    <n v="122.717393529265"/>
    <n v="79.781708062477406"/>
    <n v="9.7782025644552206"/>
    <n v="11.0077005840326"/>
    <n v="9.7332581829001796"/>
    <n v="10.9627562024776"/>
    <n v="2.9181859283326399"/>
    <n v="3.0441303339151"/>
    <s v="results/focused_pulse/waveforms/329ohm_100ms_repeat1.csv"/>
    <x v="0"/>
    <n v="1.4251660089930028E-2"/>
    <b v="1"/>
    <m/>
    <x v="1"/>
    <n v="0.52331773262655989"/>
    <n v="4.0287583184944332E-2"/>
    <s v="PASS"/>
  </r>
  <r>
    <s v="2026-08-21T12:26:39"/>
    <x v="3"/>
    <n v="2"/>
    <n v="2"/>
    <n v="329.5"/>
    <n v="100"/>
    <n v="98.983916919678407"/>
    <b v="0"/>
    <n v="0"/>
    <n v="0"/>
    <n v="3.0455437322329"/>
    <n v="2.9233177326265598"/>
    <n v="122.225999606342"/>
    <n v="73.608333974666806"/>
    <n v="9.7171382843533802"/>
    <n v="10.899083539759699"/>
    <n v="9.7808109470712701"/>
    <n v="10.9627562024776"/>
    <n v="2.9178467000859398"/>
    <n v="3.0436799505133201"/>
    <s v="results/focused_pulse/waveforms/329ohm_100ms_repeat2.csv"/>
    <x v="0"/>
    <n v="1.016083080321593E-2"/>
    <b v="1"/>
    <m/>
    <x v="1"/>
    <n v="0.52331773262655989"/>
    <n v="4.0132735022895112E-2"/>
    <s v="PASS"/>
  </r>
  <r>
    <s v="2026-08-21T12:27:45"/>
    <x v="3"/>
    <n v="3"/>
    <n v="2"/>
    <n v="329.5"/>
    <n v="100"/>
    <n v="100.794249912723"/>
    <b v="0"/>
    <n v="0"/>
    <n v="0"/>
    <n v="3.0435950001481"/>
    <n v="2.9269793862996099"/>
    <n v="116.615613848498"/>
    <n v="11.385499969422799"/>
    <n v="9.7554876537820601"/>
    <n v="11.106908844859401"/>
    <n v="9.6113350114002305"/>
    <n v="10.9627562024776"/>
    <n v="2.9215083537589899"/>
    <n v="3.04284875512954"/>
    <s v="results/focused_pulse/waveforms/329ohm_100ms_repeat3.csv"/>
    <x v="0"/>
    <n v="7.942499127230036E-3"/>
    <b v="1"/>
    <m/>
    <x v="1"/>
    <n v="0.52697938629960994"/>
    <n v="3.8315089176721454E-2"/>
    <s v="PASS"/>
  </r>
  <r>
    <s v="2026-08-21T12:28:51"/>
    <x v="3"/>
    <n v="4"/>
    <n v="2"/>
    <n v="329.5"/>
    <n v="100"/>
    <n v="100.258916034363"/>
    <b v="0"/>
    <n v="0"/>
    <n v="0"/>
    <n v="3.0454521908910701"/>
    <n v="2.9123327716074101"/>
    <n v="133.11941928366099"/>
    <n v="96.080707997866"/>
    <n v="10.425490256821901"/>
    <n v="11.600261925151599"/>
    <n v="10.4280378298045"/>
    <n v="11.602809498134301"/>
    <n v="2.9065225108200998"/>
    <n v="3.04369093547434"/>
    <s v="results/focused_pulse/waveforms/329ohm_100ms_repeat4.csv"/>
    <x v="0"/>
    <n v="2.5891603436299705E-3"/>
    <b v="1"/>
    <m/>
    <x v="1"/>
    <n v="0.5123327716074102"/>
    <n v="4.371088788778902E-2"/>
    <s v="PASS"/>
  </r>
  <r>
    <s v="2026-08-21T12:29:57"/>
    <x v="3"/>
    <n v="5"/>
    <n v="2"/>
    <n v="329.5"/>
    <n v="100"/>
    <n v="99.496582988649607"/>
    <b v="0"/>
    <n v="0"/>
    <n v="0"/>
    <n v="3.04506808342077"/>
    <n v="2.9159944252804602"/>
    <n v="129.07365814030899"/>
    <n v="13.1209169633686"/>
    <n v="10.7116289761074"/>
    <n v="11.5018857336091"/>
    <n v="10.812552740632499"/>
    <n v="11.602809498134301"/>
    <n v="2.9098449362464498"/>
    <n v="3.0437129053963798"/>
    <s v="results/focused_pulse/waveforms/329ohm_100ms_repeat5.csv"/>
    <x v="0"/>
    <n v="5.034170113503933E-3"/>
    <b v="1"/>
    <m/>
    <x v="1"/>
    <n v="0.51599442528046024"/>
    <n v="4.2387774133217468E-2"/>
    <s v="PASS"/>
  </r>
  <r>
    <s v="2026-08-21T12:31:03"/>
    <x v="4"/>
    <n v="1"/>
    <n v="3"/>
    <n v="220.3"/>
    <n v="10"/>
    <n v="11.308833025395799"/>
    <b v="0"/>
    <n v="0"/>
    <n v="0"/>
    <n v="3.0443057271260399"/>
    <n v="2.8720545812038898"/>
    <n v="172.25114592215701"/>
    <n v="7.5003330283612204"/>
    <n v="14.7666599068962"/>
    <n v="16.056953022808798"/>
    <n v="14.792889451818199"/>
    <n v="16.083182567730798"/>
    <n v="2.86353049444299"/>
    <n v="3.0444708677066998"/>
    <s v="results/focused_pulse/waveforms/220ohm_10ms_repeat1.csv"/>
    <x v="0"/>
    <n v="0.13088330253957992"/>
    <b v="1"/>
    <m/>
    <x v="1"/>
    <n v="0.47205458120388988"/>
    <n v="5.6581421631647283E-2"/>
    <s v="PASS"/>
  </r>
  <r>
    <s v="2026-08-21T12:32:09"/>
    <x v="4"/>
    <n v="2"/>
    <n v="3"/>
    <n v="220.3"/>
    <n v="10"/>
    <n v="10.0089999614283"/>
    <b v="0"/>
    <n v="0"/>
    <n v="0"/>
    <n v="3.04585643745658"/>
    <n v="2.8720545812038898"/>
    <n v="173.801856252693"/>
    <n v="4.4033330344781501"/>
    <n v="14.816646876449401"/>
    <n v="16.085883431772501"/>
    <n v="14.813946012407699"/>
    <n v="16.083182567730798"/>
    <n v="2.86353049444299"/>
    <n v="3.04503842402602"/>
    <s v="results/focused_pulse/waveforms/220ohm_10ms_repeat2.csv"/>
    <x v="0"/>
    <n v="8.9999614282998408E-4"/>
    <b v="1"/>
    <m/>
    <x v="1"/>
    <n v="0.47205458120388988"/>
    <n v="5.7061736106585825E-2"/>
    <s v="PASS"/>
  </r>
  <r>
    <s v="2026-08-21T12:33:15"/>
    <x v="4"/>
    <n v="3"/>
    <n v="3"/>
    <n v="220.3"/>
    <n v="10"/>
    <n v="11.358916060999"/>
    <b v="0"/>
    <n v="0"/>
    <n v="0"/>
    <n v="3.04561659914099"/>
    <n v="2.8720545812038898"/>
    <n v="173.56201793710801"/>
    <n v="4.3058329940959803"/>
    <n v="15.0575197179596"/>
    <n v="16.706671123229899"/>
    <n v="15.0740844581172"/>
    <n v="16.723235863387501"/>
    <n v="2.86353049444299"/>
    <n v="3.0456059803453401"/>
    <s v="results/focused_pulse/waveforms/220ohm_10ms_repeat3.csv"/>
    <x v="0"/>
    <n v="0.13589160609990003"/>
    <b v="1"/>
    <m/>
    <x v="1"/>
    <n v="0.47205458120388988"/>
    <n v="5.6987480954122996E-2"/>
    <s v="PASS"/>
  </r>
  <r>
    <s v="2026-08-21T12:34:21"/>
    <x v="4"/>
    <n v="4"/>
    <n v="3"/>
    <n v="220.3"/>
    <n v="10"/>
    <n v="10.6734160799533"/>
    <b v="0"/>
    <n v="0"/>
    <n v="0"/>
    <n v="3.04571839311311"/>
    <n v="2.8720545812038898"/>
    <n v="173.66381190921899"/>
    <n v="4.3477910530194599"/>
    <n v="14.9591486066612"/>
    <n v="16.287244198586102"/>
    <n v="14.755086975806"/>
    <n v="16.083182567730798"/>
    <n v="2.8638697226896901"/>
    <n v="3.0449322360695001"/>
    <s v="results/focused_pulse/waveforms/220ohm_10ms_repeat4.csv"/>
    <x v="0"/>
    <n v="6.7341607995330038E-2"/>
    <b v="1"/>
    <m/>
    <x v="1"/>
    <n v="0.47205458120388988"/>
    <n v="5.7018998309857717E-2"/>
    <s v="PASS"/>
  </r>
  <r>
    <s v="2026-08-21T12:35:27"/>
    <x v="4"/>
    <n v="5"/>
    <n v="3"/>
    <n v="220.3"/>
    <n v="10"/>
    <n v="10.6752500869333"/>
    <b v="0"/>
    <n v="0"/>
    <n v="0"/>
    <n v="3.04547452697848"/>
    <n v="2.8683929275308402"/>
    <n v="177.08159944764199"/>
    <n v="7.9923750717937896"/>
    <n v="14.931347386296"/>
    <n v="16.153921097100799"/>
    <n v="14.860608856926"/>
    <n v="16.083182567730798"/>
    <n v="2.86020806901664"/>
    <n v="3.0450970104847901"/>
    <s v="results/focused_pulse/waveforms/220ohm_10ms_repeat5.csv"/>
    <x v="0"/>
    <n v="6.7525008693329974E-2"/>
    <b v="1"/>
    <m/>
    <x v="1"/>
    <n v="0.46839292753084028"/>
    <n v="5.814581533319562E-2"/>
    <s v="PASS"/>
  </r>
  <r>
    <s v="2026-08-21T12:44:54"/>
    <x v="0"/>
    <n v="1"/>
    <n v="1"/>
    <n v="550.4"/>
    <n v="10"/>
    <n v="5.2655000472441298"/>
    <b v="1"/>
    <n v="0"/>
    <n v="0"/>
    <n v="2.9085491848670499"/>
    <n v="2.38871629636155"/>
    <n v="519.83288850550605"/>
    <n v="5.0742080280557396"/>
    <n v="5.43595757993441"/>
    <n v="7.3937676607665201"/>
    <n v="5.1646263477056102"/>
    <n v="7.1224364285377204"/>
    <n v="2.3856198615478199"/>
    <n v="2.90731996772901"/>
    <s v="results/focused_pulse/waveforms/550ohm_10ms_repeat1.csv"/>
    <x v="1"/>
    <n v="0.47344999527558701"/>
    <b v="0"/>
    <m/>
    <x v="0"/>
    <n v="-1.1283703638449882E-2"/>
    <n v="0.17872583733847625"/>
    <s v="INVALID"/>
  </r>
  <r>
    <s v="2026-08-21T12:46:00"/>
    <x v="0"/>
    <n v="2"/>
    <n v="1"/>
    <n v="550.4"/>
    <n v="10"/>
    <n v="6.4458749257028103"/>
    <b v="1"/>
    <n v="0"/>
    <n v="0"/>
    <n v="2.9067611993784999"/>
    <n v="2.3777313353423999"/>
    <n v="529.029864036101"/>
    <n v="6.0142499024048401"/>
    <n v="4.7985703557961497"/>
    <n v="7.12360116466985"/>
    <n v="4.79740561966402"/>
    <n v="7.1224364285377204"/>
    <n v="2.3749741287753698"/>
    <n v="2.90704900535721"/>
    <s v="results/focused_pulse/waveforms/550ohm_10ms_repeat2.csv"/>
    <x v="1"/>
    <n v="0.35541250742971897"/>
    <b v="0"/>
    <m/>
    <x v="0"/>
    <n v="-2.2268664657600024E-2"/>
    <n v="0.18199976804053042"/>
    <s v="INVALID"/>
  </r>
  <r>
    <s v="2026-08-21T12:47:06"/>
    <x v="0"/>
    <n v="3"/>
    <n v="1"/>
    <n v="550.4"/>
    <n v="10"/>
    <n v="6.9758750032633499"/>
    <b v="1"/>
    <n v="0"/>
    <n v="0"/>
    <n v="2.9087549698034798"/>
    <n v="2.3777313353423999"/>
    <n v="531.02363446107597"/>
    <n v="5.7830419895052998"/>
    <n v="4.7973525869070297"/>
    <n v="6.6799162201206599"/>
    <n v="4.5998194996674497"/>
    <n v="6.4823831328810702"/>
    <n v="2.3749741287753698"/>
    <n v="2.90741883237818"/>
    <s v="results/focused_pulse/waveforms/550ohm_10ms_repeat3.csv"/>
    <x v="1"/>
    <n v="0.30241249967366501"/>
    <b v="0"/>
    <m/>
    <x v="0"/>
    <n v="-2.2268664657600024E-2"/>
    <n v="0.18256045626866699"/>
    <s v="INVALID"/>
  </r>
  <r>
    <s v="2026-08-21T12:48:12"/>
    <x v="0"/>
    <n v="4"/>
    <n v="1"/>
    <n v="550.4"/>
    <n v="10"/>
    <n v="5.41487499140203"/>
    <b v="1"/>
    <n v="0"/>
    <n v="0"/>
    <n v="2.9079735729096501"/>
    <n v="2.3777313353423999"/>
    <n v="530.24223756724803"/>
    <n v="5.2020830509811802"/>
    <n v="4.7072887318308299"/>
    <n v="6.5506894597275798"/>
    <n v="4.6389824049843202"/>
    <n v="6.4823831328810702"/>
    <n v="2.3749741287753698"/>
    <n v="2.9073785541877801"/>
    <s v="results/focused_pulse/waveforms/550ohm_10ms_repeat4.csv"/>
    <x v="1"/>
    <n v="0.458512500859797"/>
    <b v="0"/>
    <m/>
    <x v="0"/>
    <n v="-2.2268664657600024E-2"/>
    <n v="0.18234080340582326"/>
    <s v="INVALID"/>
  </r>
  <r>
    <s v="2026-08-21T12:49:18"/>
    <x v="0"/>
    <n v="5"/>
    <n v="1"/>
    <n v="550.4"/>
    <n v="10"/>
    <n v="5.0978339277207798"/>
    <b v="1"/>
    <n v="0"/>
    <n v="0"/>
    <n v="2.9082877427948"/>
    <n v="2.3813929890154499"/>
    <n v="526.89475377934696"/>
    <n v="4.6712089043483003"/>
    <n v="5.03208018535567"/>
    <n v="6.5832681724765001"/>
    <n v="4.9311951457602401"/>
    <n v="6.4823831328810702"/>
    <n v="2.3782965542017198"/>
    <n v="2.9071698399284198"/>
    <s v="results/focused_pulse/waveforms/550ohm_10ms_repeat5.csv"/>
    <x v="1"/>
    <n v="0.49021660722792204"/>
    <b v="0"/>
    <m/>
    <x v="0"/>
    <n v="-1.8607010984549976E-2"/>
    <n v="0.18117009057467359"/>
    <s v="INVALID"/>
  </r>
  <r>
    <s v="2026-08-21T12:50:24"/>
    <x v="1"/>
    <n v="1"/>
    <n v="1"/>
    <n v="550.4"/>
    <n v="100"/>
    <n v="5.9611670440062801"/>
    <b v="1"/>
    <n v="0"/>
    <n v="0"/>
    <n v="2.9088340615228199"/>
    <n v="2.3740696816693498"/>
    <n v="534.76437985346104"/>
    <n v="5.2998330788686596"/>
    <n v="5.0468116449332996"/>
    <n v="6.6802362467684899"/>
    <n v="4.8489585310458896"/>
    <n v="6.4823831328810702"/>
    <n v="2.3713124751023198"/>
    <n v="2.7179831796030398"/>
    <s v="results/focused_pulse/waveforms/550ohm_100ms_repeat1.csv"/>
    <x v="1"/>
    <n v="0.94038832955993723"/>
    <b v="0"/>
    <m/>
    <x v="0"/>
    <n v="-2.5930318330650071E-2"/>
    <n v="0.18384148718799848"/>
    <s v="INVALID"/>
  </r>
  <r>
    <s v="2026-08-21T12:51:30"/>
    <x v="1"/>
    <n v="2"/>
    <n v="1"/>
    <n v="550.4"/>
    <n v="100"/>
    <n v="5.0983749097213096"/>
    <b v="1"/>
    <n v="0"/>
    <n v="0"/>
    <n v="2.9080068939580701"/>
    <n v="2.3777313353423999"/>
    <n v="530.27555861567203"/>
    <n v="4.43199993044135"/>
    <n v="4.8770768472380999"/>
    <n v="6.5763555968834098"/>
    <n v="4.7831043832357603"/>
    <n v="6.4823831328810702"/>
    <n v="2.3749741287753698"/>
    <n v="2.9077300729403901"/>
    <s v="results/focused_pulse/waveforms/550ohm_100ms_repeat2.csv"/>
    <x v="1"/>
    <n v="0.94901625090278685"/>
    <b v="0"/>
    <m/>
    <x v="0"/>
    <n v="-2.2268664657600024E-2"/>
    <n v="0.18235017245571836"/>
    <s v="INVALID"/>
  </r>
  <r>
    <s v="2026-08-21T12:52:36"/>
    <x v="1"/>
    <n v="3"/>
    <n v="1"/>
    <n v="550.4"/>
    <n v="100"/>
    <n v="6.1437080148607404"/>
    <b v="1"/>
    <n v="0"/>
    <n v="0"/>
    <n v="2.90711235196575"/>
    <n v="2.36674637432326"/>
    <n v="540.36597764249098"/>
    <n v="5.8714160087704403"/>
    <n v="5.0687506477097397"/>
    <n v="6.7703557507969396"/>
    <n v="4.7807780297938702"/>
    <n v="6.4823831328810702"/>
    <n v="2.3639891677562299"/>
    <n v="2.90667551668255"/>
    <s v="results/focused_pulse/waveforms/550ohm_100ms_repeat3.csv"/>
    <x v="1"/>
    <n v="0.93856291985139262"/>
    <b v="0"/>
    <m/>
    <x v="0"/>
    <n v="-3.3253625676739951E-2"/>
    <n v="0.18587722530816631"/>
    <s v="INVALID"/>
  </r>
  <r>
    <s v="2026-08-21T12:53:42"/>
    <x v="1"/>
    <n v="4"/>
    <n v="1"/>
    <n v="550.4"/>
    <n v="100"/>
    <n v="5.21433399990201"/>
    <b v="1"/>
    <n v="0"/>
    <n v="0"/>
    <n v="2.9043573237421501"/>
    <n v="2.3740696816693498"/>
    <n v="530.28764207279301"/>
    <n v="4.6995420338958303"/>
    <n v="4.8428749317742401"/>
    <n v="7.2470674454020196"/>
    <n v="4.7182439149099498"/>
    <n v="7.1224364285377204"/>
    <n v="2.3709732468556299"/>
    <n v="2.9057784115326601"/>
    <s v="results/focused_pulse/waveforms/550ohm_100ms_repeat4.csv"/>
    <x v="1"/>
    <n v="0.9478566600009799"/>
    <b v="0"/>
    <m/>
    <x v="0"/>
    <n v="-2.5930318330650071E-2"/>
    <n v="0.18258347130288302"/>
    <s v="INVALID"/>
  </r>
  <r>
    <s v="2026-08-21T12:54:48"/>
    <x v="1"/>
    <n v="5"/>
    <n v="1"/>
    <n v="550.4"/>
    <n v="100"/>
    <n v="5.19537506625056"/>
    <b v="1"/>
    <n v="0"/>
    <n v="0"/>
    <n v="2.9082635758805599"/>
    <n v="2.37040802799631"/>
    <n v="537.85554788424895"/>
    <n v="5.0325830503925504"/>
    <n v="5.0857896349844198"/>
    <n v="6.5320639088239698"/>
    <n v="5.0361088590415202"/>
    <n v="6.4823831328810702"/>
    <n v="2.36765082142928"/>
    <n v="2.9071844865431098"/>
    <s v="results/focused_pulse/waveforms/550ohm_100ms_repeat5.csv"/>
    <x v="1"/>
    <n v="0.94804624933749437"/>
    <b v="0"/>
    <m/>
    <x v="0"/>
    <n v="-2.9591972003689904E-2"/>
    <n v="0.18494044086818981"/>
    <s v="INVALID"/>
  </r>
  <r>
    <s v="2026-08-21T12:55:54"/>
    <x v="2"/>
    <n v="1"/>
    <n v="2"/>
    <n v="329.5"/>
    <n v="10"/>
    <n v="5.1965829916298301"/>
    <b v="1"/>
    <n v="0"/>
    <n v="0"/>
    <n v="2.90840491571233"/>
    <n v="2.3044982618814398"/>
    <n v="603.90665383089299"/>
    <n v="4.5029159695655299"/>
    <n v="6.1778534915206897"/>
    <n v="9.0531698350859706"/>
    <n v="6.1672799719424098"/>
    <n v="9.0425963155076801"/>
    <n v="2.3007233705743202"/>
    <n v="2.90767148648162"/>
    <s v="results/focused_pulse/waveforms/329ohm_10ms_repeat1.csv"/>
    <x v="1"/>
    <n v="0.48034170083701699"/>
    <b v="0"/>
    <m/>
    <x v="0"/>
    <n v="-9.5501738118560109E-2"/>
    <n v="0.20764187633171549"/>
    <s v="INVALID"/>
  </r>
  <r>
    <s v="2026-08-21T12:57:00"/>
    <x v="2"/>
    <n v="2"/>
    <n v="2"/>
    <n v="329.5"/>
    <n v="10"/>
    <n v="5.2786669693887198"/>
    <b v="1"/>
    <n v="0"/>
    <n v="0"/>
    <n v="2.9066249858618698"/>
    <n v="2.2971749545353499"/>
    <n v="609.45003132652005"/>
    <n v="4.5802499753236896"/>
    <n v="5.9931118801048902"/>
    <n v="8.5448395076754498"/>
    <n v="5.8508153922804702"/>
    <n v="8.4025430198510307"/>
    <n v="2.2934000632282201"/>
    <n v="2.9055294190828902"/>
    <s v="results/focused_pulse/waveforms/329ohm_10ms_repeat2.csv"/>
    <x v="1"/>
    <n v="0.472133303061128"/>
    <b v="0"/>
    <m/>
    <x v="0"/>
    <n v="-0.10282504546464999"/>
    <n v="0.20967618261418286"/>
    <s v="INVALID"/>
  </r>
  <r>
    <s v="2026-08-21T13:17:27"/>
    <x v="5"/>
    <n v="1"/>
    <n v="0"/>
    <n v="996"/>
    <n v="10"/>
    <n v="9.2352919746190292"/>
    <b v="0"/>
    <n v="0"/>
    <n v="0"/>
    <n v="2.9069428174006902"/>
    <n v="2.50222756022603"/>
    <n v="404.71525717465101"/>
    <n v="8.2119590108096698"/>
    <n v="2.7137384165099898"/>
    <n v="4.0236310378159796"/>
    <n v="2.61227732894847"/>
    <n v="3.9221699502544598"/>
    <n v="2.5004880383991002"/>
    <n v="2.9057015168055198"/>
    <s v="results/focused_pulse/waveforms/996ohm_10ms_repeat1.csv"/>
    <x v="1"/>
    <n v="7.6470802538097085E-2"/>
    <b v="1"/>
    <m/>
    <x v="1"/>
    <n v="0.10222756022603008"/>
    <n v="0.13922367332169833"/>
    <s v="PASS"/>
  </r>
  <r>
    <s v="2026-08-21T13:18:32"/>
    <x v="5"/>
    <n v="2"/>
    <n v="0"/>
    <n v="996"/>
    <n v="10"/>
    <n v="11.8260419694706"/>
    <b v="0"/>
    <n v="0"/>
    <n v="0"/>
    <n v="2.9081464029630202"/>
    <n v="2.4985659065529902"/>
    <n v="409.58049641002998"/>
    <n v="9.3176250549778494"/>
    <n v="2.7275026454017999"/>
    <n v="4.0985812787373801"/>
    <n v="2.55109131691888"/>
    <n v="3.9221699502544598"/>
    <n v="2.4968263847260501"/>
    <n v="2.9072430730018799"/>
    <s v="results/focused_pulse/waveforms/996ohm_10ms_repeat2.csv"/>
    <x v="1"/>
    <n v="0.18260419694705998"/>
    <b v="1"/>
    <m/>
    <x v="1"/>
    <n v="9.8565906552990246E-2"/>
    <n v="0.14083902240709789"/>
    <s v="PASS"/>
  </r>
  <r>
    <s v="2026-08-21T13:19:38"/>
    <x v="5"/>
    <n v="3"/>
    <n v="0"/>
    <n v="996"/>
    <n v="10"/>
    <n v="9.5280419336631894"/>
    <b v="0"/>
    <n v="0"/>
    <n v="0"/>
    <n v="2.9081669082235901"/>
    <n v="2.50222756022603"/>
    <n v="405.93934799755101"/>
    <n v="7.8877919368445699"/>
    <n v="2.6991330901231101"/>
    <n v="3.8751386732236401"/>
    <n v="2.7461643671539302"/>
    <n v="3.9221699502544598"/>
    <n v="2.5004880383991002"/>
    <n v="2.9068549377125299"/>
    <s v="results/focused_pulse/waveforms/996ohm_10ms_repeat3.csv"/>
    <x v="1"/>
    <n v="4.7195806633681059E-2"/>
    <b v="1"/>
    <m/>
    <x v="1"/>
    <n v="0.10222756022603008"/>
    <n v="0.13958598691486829"/>
    <s v="PASS"/>
  </r>
  <r>
    <s v="2026-08-21T13:20:44"/>
    <x v="5"/>
    <n v="4"/>
    <n v="0"/>
    <n v="996"/>
    <n v="10"/>
    <n v="9.2662090901285392"/>
    <b v="0"/>
    <n v="0"/>
    <n v="0"/>
    <n v="2.9087319013853401"/>
    <n v="2.4985659065529902"/>
    <n v="410.16599483235098"/>
    <n v="8.8418750094249603"/>
    <n v="2.7148698059168601"/>
    <n v="3.7912916914926198"/>
    <n v="2.8457480646787001"/>
    <n v="3.9221699502544598"/>
    <n v="2.4971656129727502"/>
    <n v="2.90780696766753"/>
    <s v="results/focused_pulse/waveforms/996ohm_10ms_repeat4.csv"/>
    <x v="1"/>
    <n v="7.3379090987146081E-2"/>
    <b v="1"/>
    <m/>
    <x v="1"/>
    <n v="9.8565906552990246E-2"/>
    <n v="0.14101196285467268"/>
    <s v="PASS"/>
  </r>
  <r>
    <s v="2026-08-21T13:21:50"/>
    <x v="5"/>
    <n v="5"/>
    <n v="0"/>
    <n v="996"/>
    <n v="10"/>
    <n v="9.5970419934019393"/>
    <b v="0"/>
    <n v="0"/>
    <n v="0"/>
    <n v="2.9086110668141298"/>
    <n v="2.4985659065529902"/>
    <n v="410.04516026113998"/>
    <n v="9.1050840373337305"/>
    <n v="2.7061826704785701"/>
    <n v="3.9469526529963099"/>
    <n v="2.6813999677367102"/>
    <n v="3.9221699502544598"/>
    <n v="2.4971656129727502"/>
    <n v="2.9074298173391999"/>
    <s v="results/focused_pulse/waveforms/996ohm_10ms_repeat5.csv"/>
    <x v="1"/>
    <n v="4.0295800659806071E-2"/>
    <b v="1"/>
    <m/>
    <x v="1"/>
    <n v="9.8565906552990246E-2"/>
    <n v="0.14097627728215725"/>
    <s v="PASS"/>
  </r>
  <r>
    <s v="2026-08-21T13:22:56"/>
    <x v="6"/>
    <n v="1"/>
    <n v="0"/>
    <n v="996"/>
    <n v="100"/>
    <n v="99.077916005626307"/>
    <b v="0"/>
    <n v="0"/>
    <n v="0"/>
    <n v="2.9077568030122101"/>
    <n v="2.4802576381877501"/>
    <n v="427.49916482445798"/>
    <n v="42.876958047225997"/>
    <n v="2.6809928932679599"/>
    <n v="3.8287348092885298"/>
    <n v="2.7744280342338898"/>
    <n v="3.9221699502544598"/>
    <n v="2.4785181163608101"/>
    <n v="2.9013185173588898"/>
    <s v="results/focused_pulse/waveforms/996ohm_100ms_repeat1.csv"/>
    <x v="1"/>
    <n v="9.2208399437369339E-3"/>
    <b v="1"/>
    <m/>
    <x v="1"/>
    <n v="8.0257638187750224E-2"/>
    <n v="0.14702026124798404"/>
    <s v="PASS"/>
  </r>
  <r>
    <s v="2026-08-21T13:24:02"/>
    <x v="6"/>
    <n v="2"/>
    <n v="0"/>
    <n v="996"/>
    <n v="100"/>
    <n v="100.074374931864"/>
    <b v="0"/>
    <n v="0"/>
    <n v="0"/>
    <n v="2.9062980001888601"/>
    <n v="2.4802576381877501"/>
    <n v="426.040362001115"/>
    <n v="48.826666979007399"/>
    <n v="2.72480819313293"/>
    <n v="4.3325207582998804"/>
    <n v="2.9545106807441601"/>
    <n v="4.5622232459111096"/>
    <n v="2.47817888811411"/>
    <n v="2.9003335325208401"/>
    <s v="results/focused_pulse/waveforms/996ohm_100ms_repeat2.csv"/>
    <x v="1"/>
    <n v="7.4374931863999908E-4"/>
    <b v="1"/>
    <m/>
    <x v="1"/>
    <n v="8.0257638187750224E-2"/>
    <n v="0.14659211201791061"/>
    <s v="PASS"/>
  </r>
  <r>
    <s v="2026-08-21T13:25:08"/>
    <x v="6"/>
    <n v="3"/>
    <n v="0"/>
    <n v="996"/>
    <n v="100"/>
    <n v="102.38024999853199"/>
    <b v="0"/>
    <n v="0"/>
    <n v="0"/>
    <n v="2.77140597436208"/>
    <n v="2.43265614043812"/>
    <n v="338.74983392395598"/>
    <n v="22.7463750055432"/>
    <n v="2.6532749687682502"/>
    <n v="3.3443424751355799"/>
    <n v="2.5910491482304798"/>
    <n v="3.2821166545978002"/>
    <n v="2.43125584685788"/>
    <n v="2.8997366829721298"/>
    <s v="results/focused_pulse/waveforms/996ohm_100ms_repeat3.csv"/>
    <x v="1"/>
    <n v="2.3802499985319941E-2"/>
    <b v="1"/>
    <s v="Exclude"/>
    <x v="0"/>
    <n v="3.265614043812004E-2"/>
    <n v="0.1222303181337152"/>
    <s v="INVALID"/>
  </r>
  <r>
    <s v="2026-08-21T13:26:14"/>
    <x v="6"/>
    <n v="4"/>
    <n v="0"/>
    <n v="996"/>
    <n v="100"/>
    <n v="100.684541976079"/>
    <b v="0"/>
    <n v="0"/>
    <n v="0"/>
    <n v="2.9074364083158102"/>
    <n v="2.4802576381877501"/>
    <n v="427.17877012806599"/>
    <n v="92.536916999407097"/>
    <n v="2.6766258573494102"/>
    <n v="3.8136295515110299"/>
    <n v="2.7851662560928299"/>
    <n v="3.9221699502544598"/>
    <n v="2.4785181163608101"/>
    <n v="2.9011207880605401"/>
    <s v="results/focused_pulse/waveforms/996ohm_100ms_repeat4.csv"/>
    <x v="1"/>
    <n v="6.845419760790037E-3"/>
    <b v="1"/>
    <m/>
    <x v="1"/>
    <n v="8.0257638187750224E-2"/>
    <n v="0.14692626428776054"/>
    <s v="PASS"/>
  </r>
  <r>
    <s v="2026-08-21T13:27:21"/>
    <x v="6"/>
    <n v="5"/>
    <n v="0"/>
    <n v="996"/>
    <n v="100"/>
    <n v="100.117999943904"/>
    <b v="0"/>
    <n v="0"/>
    <n v="0"/>
    <n v="2.9089241382031701"/>
    <n v="2.4802576381877501"/>
    <n v="428.66650001542502"/>
    <n v="90.914875016808494"/>
    <n v="2.6788770179256698"/>
    <n v="3.9039410715281901"/>
    <n v="2.6971058966519301"/>
    <n v="3.9221699502544598"/>
    <n v="2.4788573446075102"/>
    <n v="2.9019629684053401"/>
    <s v="results/focused_pulse/waveforms/996ohm_100ms_repeat5.csv"/>
    <x v="1"/>
    <n v="1.1799994390399604E-3"/>
    <b v="1"/>
    <m/>
    <x v="1"/>
    <n v="8.0257638187750224E-2"/>
    <n v="0.14736255730622472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0AEC0-E12C-5C4C-9EBC-555771B04CB4}" name="PivotTable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13" firstHeaderRow="0" firstDataRow="1" firstDataCol="1" rowPageCount="1" colPageCount="1"/>
  <pivotFields count="29">
    <pivotField showAll="0"/>
    <pivotField axis="axisRow" showAll="0">
      <items count="9">
        <item x="4"/>
        <item x="3"/>
        <item x="2"/>
        <item x="1"/>
        <item x="0"/>
        <item m="1" x="7"/>
        <item x="5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Page" showAll="0">
      <items count="5">
        <item m="1" x="3"/>
        <item m="1" x="2"/>
        <item x="0"/>
        <item x="1"/>
        <item t="default"/>
      </items>
    </pivotField>
    <pivotField showAll="0"/>
    <pivotField showAll="0"/>
    <pivotField showAll="0"/>
  </pivotFields>
  <rowFields count="2">
    <field x="21"/>
    <field x="1"/>
  </rowFields>
  <rowItems count="10">
    <i>
      <x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5" item="3" hier="-1"/>
  </pageFields>
  <dataFields count="7">
    <dataField name="Average of avg_added_current_mA" fld="14" subtotal="average" baseField="0" baseItem="0"/>
    <dataField name="Average of battery_droop_mV" fld="12" subtotal="average" baseField="0" baseItem="0"/>
    <dataField name="Average of vbat_min_V" fld="11" subtotal="average" baseField="0" baseItem="0"/>
    <dataField name="Average of vpcb_min_V" fld="18" subtotal="average" baseField="0" baseItem="0"/>
    <dataField name="Count of repeat" fld="2" subtotal="count" baseField="0" baseItem="0"/>
    <dataField name="Min of vbat_min_V" fld="11" subtotal="min" baseField="0" baseItem="0"/>
    <dataField name="StdDev of vbat_min_V" fld="11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E7EF8-905C-6742-9A8E-B9B14288B953}" name="tblATE" displayName="tblATE" ref="A1:AC48" totalsRowShown="0">
  <autoFilter ref="A1:AC48" xr:uid="{53AE7EF8-905C-6742-9A8E-B9B14288B953}"/>
  <tableColumns count="29">
    <tableColumn id="1" xr3:uid="{4B1EFA44-262D-D44B-9B51-F81FA82484D0}" name="timestamp"/>
    <tableColumn id="2" xr3:uid="{3E6F5C47-6887-744E-A87A-0AFE8C9E5C0E}" name="test_name"/>
    <tableColumn id="3" xr3:uid="{424C5AB2-07AA-E847-A1D0-D337DABF6B77}" name="repeat"/>
    <tableColumn id="4" xr3:uid="{E4D7648E-427E-1247-9B6A-44243EC9DC62}" name="dio"/>
    <tableColumn id="5" xr3:uid="{A84D704E-DBC7-7A43-B1E3-F3C2E685F57F}" name="load_resistance_ohm"/>
    <tableColumn id="6" xr3:uid="{82160787-77D8-3040-8FDF-9CDADDDB08A5}" name="pulse_requested_ms"/>
    <tableColumn id="7" xr3:uid="{CE363454-25EE-004F-9EE0-BFFEAB512A2A}" name="pulse_actual_ms"/>
    <tableColumn id="8" xr3:uid="{EF240A25-7DFC-3447-9F46-6D06007345EF}" name="aborted"/>
    <tableColumn id="9" xr3:uid="{3A71C237-96AC-D74B-8FD8-E29ABD225602}" name="lost_samples"/>
    <tableColumn id="10" xr3:uid="{A592CC18-E573-064B-A246-621957B7FD9A}" name="corrupted_samples"/>
    <tableColumn id="11" xr3:uid="{7C87935D-5DC5-B04F-ACDA-D00AC62F7D99}" name="baseline_vbat_V"/>
    <tableColumn id="12" xr3:uid="{8B6111F5-9AA2-9642-9766-12A2199A028B}" name="vbat_min_V"/>
    <tableColumn id="13" xr3:uid="{0E9C42F3-418D-1842-B980-A1CB5621C2AD}" name="battery_droop_mV"/>
    <tableColumn id="14" xr3:uid="{B5ACC98A-A782-0343-A051-55BDD800C749}" name="time_min_after_load_on_ms"/>
    <tableColumn id="15" xr3:uid="{AEBAADA6-7BFC-AF47-B30E-F6FF6E1670AD}" name="avg_added_current_mA"/>
    <tableColumn id="16" xr3:uid="{9406576D-ACE8-224B-BE96-2782C53D3167}" name="max_added_current_mA"/>
    <tableColumn id="17" xr3:uid="{A1A3896D-755E-054B-BC8F-A9BFF24E3B9C}" name="avg_total_current_mA"/>
    <tableColumn id="18" xr3:uid="{E893B21D-DCE7-024D-82A7-A6F4D8946F65}" name="max_total_current_mA"/>
    <tableColumn id="19" xr3:uid="{B272EBEE-3BEA-7643-B3A0-927376D34FD1}" name="vpcb_min_V"/>
    <tableColumn id="20" xr3:uid="{1C74CE71-BAFF-0B48-90FE-BBA21E0140E8}" name="immediate_recovery_vbat_V"/>
    <tableColumn id="21" xr3:uid="{11378EF9-9048-5042-9A35-A1BB9A4DED6E}" name="waveform_file"/>
    <tableColumn id="22" xr3:uid="{9FC6FE2F-5DE7-CB46-804B-68DD79CB6930}" name="Battery_Condition" dataDxfId="6">
      <calculatedColumnFormula>IF(K2&gt;=3,"Fresh ~3.05V","Aged ~2.90V")</calculatedColumnFormula>
    </tableColumn>
    <tableColumn id="23" xr3:uid="{27B8B4D4-328B-AF4F-9DDD-3BAC42A62BBD}" name="Pulse_Error_pct" dataDxfId="2">
      <calculatedColumnFormula>ABS(G2-F2)/F2</calculatedColumnFormula>
    </tableColumn>
    <tableColumn id="24" xr3:uid="{206A08DE-E6A7-6248-9011-8584FA930A51}" name="Auto_Valid" dataDxfId="5">
      <calculatedColumnFormula>AND(H2=FALSE,I2=0,J2=0,W2&lt;=Controls!$B$3)</calculatedColumnFormula>
    </tableColumn>
    <tableColumn id="25" xr3:uid="{E808B9EC-D13B-7E45-8085-D51D47D037E9}" name="Manual_Status"/>
    <tableColumn id="26" xr3:uid="{9760967F-897B-AF40-80AF-C85E7B485171}" name="Final_Valid" dataDxfId="0">
      <calculatedColumnFormula>AND(X2=TRUE,Y2&lt;&gt;"Exclude")</calculatedColumnFormula>
    </tableColumn>
    <tableColumn id="27" xr3:uid="{DECEF987-1389-DE45-A8D9-E1785919899F}" name="VBAT_Margin_V" dataDxfId="4">
      <calculatedColumnFormula>L2-Controls!$B$2</calculatedColumnFormula>
    </tableColumn>
    <tableColumn id="28" xr3:uid="{4BCB42B7-FB71-3E47-AA46-7EB62406BCDB}" name="Droop_pct" dataDxfId="1">
      <calculatedColumnFormula>M2/1000/K2</calculatedColumnFormula>
    </tableColumn>
    <tableColumn id="29" xr3:uid="{CF05FA49-E538-E34B-9348-B54B87DB819D}" name="Pass_Fail" dataDxfId="3">
      <calculatedColumnFormula>IF(Z2=FALSE,"INVALID",IF(tblATE[[#This Row],[vbat_min_V]]&gt;=Controls!$B$2,"PASS","FAIL"))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6FAF-9D1D-834B-92CE-ECC7E809D291}">
  <dimension ref="A1:H13"/>
  <sheetViews>
    <sheetView workbookViewId="0">
      <selection activeCell="B2" sqref="B2"/>
    </sheetView>
  </sheetViews>
  <sheetFormatPr baseColWidth="10" defaultRowHeight="16" x14ac:dyDescent="0.2"/>
  <cols>
    <col min="1" max="1" width="17.5" bestFit="1" customWidth="1"/>
    <col min="2" max="2" width="29.83203125" bestFit="1" customWidth="1"/>
    <col min="3" max="3" width="25.5" bestFit="1" customWidth="1"/>
    <col min="4" max="4" width="19.83203125" bestFit="1" customWidth="1"/>
    <col min="5" max="5" width="20.1640625" bestFit="1" customWidth="1"/>
    <col min="6" max="6" width="13.83203125" bestFit="1" customWidth="1"/>
    <col min="7" max="7" width="16" bestFit="1" customWidth="1"/>
    <col min="8" max="8" width="19" bestFit="1" customWidth="1"/>
  </cols>
  <sheetData>
    <row r="1" spans="1:8" x14ac:dyDescent="0.2">
      <c r="A1" s="7" t="s">
        <v>98</v>
      </c>
      <c r="B1" t="s">
        <v>149</v>
      </c>
    </row>
    <row r="3" spans="1:8" x14ac:dyDescent="0.2">
      <c r="A3" s="7" t="s">
        <v>102</v>
      </c>
      <c r="B3" t="s">
        <v>106</v>
      </c>
      <c r="C3" t="s">
        <v>107</v>
      </c>
      <c r="D3" t="s">
        <v>108</v>
      </c>
      <c r="E3" t="s">
        <v>110</v>
      </c>
      <c r="F3" t="s">
        <v>109</v>
      </c>
      <c r="G3" t="s">
        <v>111</v>
      </c>
      <c r="H3" t="s">
        <v>112</v>
      </c>
    </row>
    <row r="4" spans="1:8" x14ac:dyDescent="0.2">
      <c r="A4" s="8" t="s">
        <v>103</v>
      </c>
      <c r="B4" s="6">
        <v>2.7025256211229216</v>
      </c>
      <c r="C4" s="6">
        <v>416.64789484942082</v>
      </c>
      <c r="D4" s="6">
        <v>2.4912425992068927</v>
      </c>
      <c r="E4" s="6">
        <v>2.4895784614347769</v>
      </c>
      <c r="F4" s="6">
        <v>9</v>
      </c>
      <c r="G4" s="6">
        <v>2.4802576381877501</v>
      </c>
      <c r="H4" s="6">
        <v>1.0517299457365292E-2</v>
      </c>
    </row>
    <row r="5" spans="1:8" x14ac:dyDescent="0.2">
      <c r="A5" s="9" t="s">
        <v>127</v>
      </c>
      <c r="B5" s="6">
        <v>2.7122853256860657</v>
      </c>
      <c r="C5" s="6">
        <v>408.08925133514464</v>
      </c>
      <c r="D5" s="6">
        <v>2.5000305680222064</v>
      </c>
      <c r="E5" s="6">
        <v>2.4984267374939502</v>
      </c>
      <c r="F5" s="6">
        <v>5</v>
      </c>
      <c r="G5" s="6">
        <v>2.4985659065529902</v>
      </c>
      <c r="H5" s="6">
        <v>2.0055703143773761E-3</v>
      </c>
    </row>
    <row r="6" spans="1:8" x14ac:dyDescent="0.2">
      <c r="A6" s="9" t="s">
        <v>138</v>
      </c>
      <c r="B6" s="6">
        <v>2.6903259904189927</v>
      </c>
      <c r="C6" s="6">
        <v>427.34619924226598</v>
      </c>
      <c r="D6" s="6">
        <v>2.4802576381877501</v>
      </c>
      <c r="E6" s="6">
        <v>2.4785181163608101</v>
      </c>
      <c r="F6" s="6">
        <v>4</v>
      </c>
      <c r="G6" s="6">
        <v>2.4802576381877501</v>
      </c>
      <c r="H6" s="6">
        <v>0</v>
      </c>
    </row>
    <row r="7" spans="1:8" x14ac:dyDescent="0.2">
      <c r="A7" s="8" t="s">
        <v>104</v>
      </c>
      <c r="B7" s="6">
        <v>9.8009914605519182</v>
      </c>
      <c r="C7" s="6">
        <v>119.89158859154225</v>
      </c>
      <c r="D7" s="6">
        <v>2.9260639728813445</v>
      </c>
      <c r="E7" s="6">
        <v>2.9204798642584961</v>
      </c>
      <c r="F7" s="6">
        <v>24</v>
      </c>
      <c r="G7" s="6">
        <v>2.8683929275308402</v>
      </c>
      <c r="H7" s="6">
        <v>3.2541011511370239E-2</v>
      </c>
    </row>
    <row r="8" spans="1:8" x14ac:dyDescent="0.2">
      <c r="A8" s="9" t="s">
        <v>66</v>
      </c>
      <c r="B8" s="6">
        <v>14.90626449885248</v>
      </c>
      <c r="C8" s="6">
        <v>174.07208629376382</v>
      </c>
      <c r="D8" s="6">
        <v>2.8713222504692797</v>
      </c>
      <c r="E8" s="6">
        <v>2.8629338550070598</v>
      </c>
      <c r="F8" s="6">
        <v>5</v>
      </c>
      <c r="G8" s="6">
        <v>2.8683929275308402</v>
      </c>
      <c r="H8" s="6">
        <v>1.6375413044992721E-3</v>
      </c>
    </row>
    <row r="9" spans="1:8" x14ac:dyDescent="0.2">
      <c r="A9" s="9" t="s">
        <v>55</v>
      </c>
      <c r="B9" s="6">
        <v>10.077589547103994</v>
      </c>
      <c r="C9" s="6">
        <v>124.750416881615</v>
      </c>
      <c r="D9" s="6">
        <v>2.9203884096881199</v>
      </c>
      <c r="E9" s="6">
        <v>2.914781685848824</v>
      </c>
      <c r="F9" s="6">
        <v>5</v>
      </c>
      <c r="G9" s="6">
        <v>2.9123327716074101</v>
      </c>
      <c r="H9" s="6">
        <v>6.0167109435749835E-3</v>
      </c>
    </row>
    <row r="10" spans="1:8" x14ac:dyDescent="0.2">
      <c r="A10" s="9" t="s">
        <v>44</v>
      </c>
      <c r="B10" s="6">
        <v>9.6075543432240114</v>
      </c>
      <c r="C10" s="6">
        <v>116.88166960438181</v>
      </c>
      <c r="D10" s="6">
        <v>2.9299087092380423</v>
      </c>
      <c r="E10" s="6">
        <v>2.9244376766974298</v>
      </c>
      <c r="F10" s="6">
        <v>5</v>
      </c>
      <c r="G10" s="6">
        <v>2.9269793862996099</v>
      </c>
      <c r="H10" s="6">
        <v>1.6375413044992721E-3</v>
      </c>
    </row>
    <row r="11" spans="1:8" x14ac:dyDescent="0.2">
      <c r="A11" s="9" t="s">
        <v>33</v>
      </c>
      <c r="B11" s="6">
        <v>7.022302051752634</v>
      </c>
      <c r="C11" s="6">
        <v>90.143615386124452</v>
      </c>
      <c r="D11" s="6">
        <v>2.9562726156839898</v>
      </c>
      <c r="E11" s="6">
        <v>2.9522263417795083</v>
      </c>
      <c r="F11" s="6">
        <v>5</v>
      </c>
      <c r="G11" s="6">
        <v>2.9562726156839898</v>
      </c>
      <c r="H11" s="6">
        <v>4.2146848510894035E-8</v>
      </c>
    </row>
    <row r="12" spans="1:8" x14ac:dyDescent="0.2">
      <c r="A12" s="9" t="s">
        <v>22</v>
      </c>
      <c r="B12" s="6">
        <v>6.7888107121451053</v>
      </c>
      <c r="C12" s="6">
        <v>87.039796341897244</v>
      </c>
      <c r="D12" s="6">
        <v>2.9590188559387776</v>
      </c>
      <c r="E12" s="6">
        <v>2.9549047363849494</v>
      </c>
      <c r="F12" s="6">
        <v>4</v>
      </c>
      <c r="G12" s="6">
        <v>2.9526109620109402</v>
      </c>
      <c r="H12" s="6">
        <v>4.6074798317132125E-3</v>
      </c>
    </row>
    <row r="13" spans="1:8" x14ac:dyDescent="0.2">
      <c r="A13" s="8" t="s">
        <v>105</v>
      </c>
      <c r="B13" s="6">
        <v>7.8650462316167369</v>
      </c>
      <c r="C13" s="6">
        <v>200.82512666187273</v>
      </c>
      <c r="D13" s="6">
        <v>2.8074763255155837</v>
      </c>
      <c r="E13" s="6">
        <v>2.8029612998520275</v>
      </c>
      <c r="F13" s="6">
        <v>33</v>
      </c>
      <c r="G13" s="6">
        <v>2.4802576381877501</v>
      </c>
      <c r="H13" s="6">
        <v>0.19865065591691364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D001-83E9-DD4C-B52D-5121904872EF}">
  <dimension ref="A1:AC48"/>
  <sheetViews>
    <sheetView topLeftCell="U1" workbookViewId="0">
      <pane ySplit="1" topLeftCell="A18" activePane="bottomLeft" state="frozen"/>
      <selection pane="bottomLeft" activeCell="Y47" sqref="Y47"/>
    </sheetView>
  </sheetViews>
  <sheetFormatPr baseColWidth="10" defaultRowHeight="16" x14ac:dyDescent="0.2"/>
  <cols>
    <col min="1" max="1" width="18.6640625" customWidth="1"/>
    <col min="2" max="2" width="14.33203125" customWidth="1"/>
    <col min="5" max="5" width="21.1640625" customWidth="1"/>
    <col min="6" max="6" width="20.6640625" customWidth="1"/>
    <col min="7" max="7" width="17.5" customWidth="1"/>
    <col min="9" max="9" width="14.6640625" customWidth="1"/>
    <col min="10" max="10" width="19.5" customWidth="1"/>
    <col min="11" max="11" width="18.1640625" customWidth="1"/>
    <col min="12" max="12" width="13" customWidth="1"/>
    <col min="13" max="13" width="18.5" customWidth="1"/>
    <col min="14" max="14" width="26.83203125" customWidth="1"/>
    <col min="15" max="15" width="22.6640625" customWidth="1"/>
    <col min="16" max="16" width="23.33203125" customWidth="1"/>
    <col min="17" max="17" width="21.5" customWidth="1"/>
    <col min="18" max="18" width="22.1640625" customWidth="1"/>
    <col min="19" max="19" width="13.33203125" customWidth="1"/>
    <col min="20" max="20" width="26.6640625" customWidth="1"/>
    <col min="21" max="21" width="52.33203125" customWidth="1"/>
    <col min="22" max="22" width="18.1640625" customWidth="1"/>
    <col min="23" max="23" width="17.33203125" style="5" customWidth="1"/>
    <col min="28" max="28" width="10.83203125" style="5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94</v>
      </c>
      <c r="W1" s="5" t="s">
        <v>95</v>
      </c>
      <c r="X1" t="s">
        <v>96</v>
      </c>
      <c r="Y1" t="s">
        <v>97</v>
      </c>
      <c r="Z1" t="s">
        <v>98</v>
      </c>
      <c r="AA1" t="s">
        <v>99</v>
      </c>
      <c r="AB1" s="5" t="s">
        <v>100</v>
      </c>
      <c r="AC1" t="s">
        <v>101</v>
      </c>
    </row>
    <row r="2" spans="1:29" x14ac:dyDescent="0.2">
      <c r="A2" t="s">
        <v>21</v>
      </c>
      <c r="B2" t="s">
        <v>22</v>
      </c>
      <c r="C2">
        <v>1</v>
      </c>
      <c r="D2">
        <v>1</v>
      </c>
      <c r="E2">
        <v>550.4</v>
      </c>
      <c r="F2">
        <v>10</v>
      </c>
      <c r="G2">
        <v>40.263666072860303</v>
      </c>
      <c r="H2" t="b">
        <v>0</v>
      </c>
      <c r="I2">
        <v>0</v>
      </c>
      <c r="J2">
        <v>0</v>
      </c>
      <c r="K2">
        <v>3.0461918449330301</v>
      </c>
      <c r="L2">
        <v>2.9599342693570398</v>
      </c>
      <c r="M2">
        <v>86.257575575992007</v>
      </c>
      <c r="N2">
        <v>9.7463750099390793</v>
      </c>
      <c r="O2">
        <v>7.0174200748473297</v>
      </c>
      <c r="P2">
        <v>7.9189953951823702</v>
      </c>
      <c r="Q2">
        <v>6.8609144038593302</v>
      </c>
      <c r="R2">
        <v>7.7624897241943698</v>
      </c>
      <c r="S2">
        <v>2.95582014980321</v>
      </c>
      <c r="T2">
        <v>3.0453276946661898</v>
      </c>
      <c r="U2" t="s">
        <v>23</v>
      </c>
      <c r="V2" t="str">
        <f t="shared" ref="V2:V38" si="0">IF(K2&gt;=3,"Fresh ~3.05V","Aged ~2.90V")</f>
        <v>Fresh ~3.05V</v>
      </c>
      <c r="W2" s="5">
        <f t="shared" ref="W2:W38" si="1">ABS(G2-F2)/F2</f>
        <v>3.0263666072860302</v>
      </c>
      <c r="X2" t="b">
        <f>AND(H2=FALSE,I2=0,J2=0,W2&lt;=Controls!$B$3)</f>
        <v>0</v>
      </c>
      <c r="Z2" t="b">
        <f t="shared" ref="Z2:Z48" si="2">AND(X2=TRUE,Y2&lt;&gt;"Exclude")</f>
        <v>0</v>
      </c>
      <c r="AA2">
        <f>L2-Controls!$B$2</f>
        <v>0.55993426935703994</v>
      </c>
      <c r="AB2" s="5">
        <f t="shared" ref="AB2:AB38" si="3">M2/1000/K2</f>
        <v>2.8316527640723285E-2</v>
      </c>
      <c r="AC2" t="str">
        <f>IF(Z2=FALSE,"INVALID",IF(tblATE[[#This Row],[vbat_min_V]]&gt;=Controls!$B$2,"PASS","FAIL"))</f>
        <v>INVALID</v>
      </c>
    </row>
    <row r="3" spans="1:29" x14ac:dyDescent="0.2">
      <c r="A3" t="s">
        <v>24</v>
      </c>
      <c r="B3" t="s">
        <v>22</v>
      </c>
      <c r="C3">
        <v>2</v>
      </c>
      <c r="D3">
        <v>1</v>
      </c>
      <c r="E3">
        <v>550.4</v>
      </c>
      <c r="F3">
        <v>10</v>
      </c>
      <c r="G3">
        <v>9.2250420711934495</v>
      </c>
      <c r="H3" t="b">
        <v>0</v>
      </c>
      <c r="I3">
        <v>0</v>
      </c>
      <c r="J3">
        <v>0</v>
      </c>
      <c r="K3">
        <v>3.0450406210182202</v>
      </c>
      <c r="L3">
        <v>2.9526109620109402</v>
      </c>
      <c r="M3">
        <v>92.429659007282098</v>
      </c>
      <c r="N3">
        <v>4.2628329875692899</v>
      </c>
      <c r="O3">
        <v>6.6654629429591701</v>
      </c>
      <c r="P3">
        <v>7.6744310309119701</v>
      </c>
      <c r="Q3">
        <v>6.7535216362415804</v>
      </c>
      <c r="R3">
        <v>7.7624897241943698</v>
      </c>
      <c r="S3">
        <v>2.9484968424571201</v>
      </c>
      <c r="T3">
        <v>3.0453679728565901</v>
      </c>
      <c r="U3" t="s">
        <v>25</v>
      </c>
      <c r="V3" t="str">
        <f t="shared" si="0"/>
        <v>Fresh ~3.05V</v>
      </c>
      <c r="W3" s="5">
        <f t="shared" si="1"/>
        <v>7.7495792880655043E-2</v>
      </c>
      <c r="X3" t="b">
        <f>AND(H3=FALSE,I3=0,J3=0,W3&lt;=Controls!$B$3)</f>
        <v>1</v>
      </c>
      <c r="Z3" t="b">
        <f t="shared" si="2"/>
        <v>1</v>
      </c>
      <c r="AA3">
        <f>L3-Controls!$B$2</f>
        <v>0.55261096201094029</v>
      </c>
      <c r="AB3" s="5">
        <f t="shared" si="3"/>
        <v>3.0354162886790943E-2</v>
      </c>
      <c r="AC3" t="str">
        <f>IF(Z3=FALSE,"INVALID",IF(tblATE[[#This Row],[vbat_min_V]]&gt;=Controls!$B$2,"PASS","FAIL"))</f>
        <v>PASS</v>
      </c>
    </row>
    <row r="4" spans="1:29" x14ac:dyDescent="0.2">
      <c r="A4" t="s">
        <v>26</v>
      </c>
      <c r="B4" t="s">
        <v>22</v>
      </c>
      <c r="C4">
        <v>3</v>
      </c>
      <c r="D4">
        <v>1</v>
      </c>
      <c r="E4">
        <v>550.4</v>
      </c>
      <c r="F4">
        <v>10</v>
      </c>
      <c r="G4">
        <v>9.0364579809829593</v>
      </c>
      <c r="H4" t="b">
        <v>0</v>
      </c>
      <c r="I4">
        <v>0</v>
      </c>
      <c r="J4">
        <v>0</v>
      </c>
      <c r="K4">
        <v>3.0472841162236999</v>
      </c>
      <c r="L4">
        <v>2.9635959230300899</v>
      </c>
      <c r="M4">
        <v>83.688193193614396</v>
      </c>
      <c r="N4">
        <v>3.5961250458285101</v>
      </c>
      <c r="O4">
        <v>6.7615847549710697</v>
      </c>
      <c r="P4">
        <v>7.75635785275602</v>
      </c>
      <c r="Q4">
        <v>6.7677166264094204</v>
      </c>
      <c r="R4">
        <v>7.7624897241943698</v>
      </c>
      <c r="S4">
        <v>2.95948180347626</v>
      </c>
      <c r="T4">
        <v>3.0465653336076799</v>
      </c>
      <c r="U4" t="s">
        <v>27</v>
      </c>
      <c r="V4" t="str">
        <f t="shared" si="0"/>
        <v>Fresh ~3.05V</v>
      </c>
      <c r="W4" s="5">
        <f t="shared" si="1"/>
        <v>9.6354201901704073E-2</v>
      </c>
      <c r="X4" t="b">
        <f>AND(H4=FALSE,I4=0,J4=0,W4&lt;=Controls!$B$3)</f>
        <v>1</v>
      </c>
      <c r="Z4" t="b">
        <f t="shared" si="2"/>
        <v>1</v>
      </c>
      <c r="AA4">
        <f>L4-Controls!$B$2</f>
        <v>0.56359592303008998</v>
      </c>
      <c r="AB4" s="5">
        <f t="shared" si="3"/>
        <v>2.7463206580594035E-2</v>
      </c>
      <c r="AC4" t="str">
        <f>IF(Z4=FALSE,"INVALID",IF(tblATE[[#This Row],[vbat_min_V]]&gt;=Controls!$B$2,"PASS","FAIL"))</f>
        <v>PASS</v>
      </c>
    </row>
    <row r="5" spans="1:29" x14ac:dyDescent="0.2">
      <c r="A5" t="s">
        <v>28</v>
      </c>
      <c r="B5" t="s">
        <v>22</v>
      </c>
      <c r="C5">
        <v>4</v>
      </c>
      <c r="D5">
        <v>1</v>
      </c>
      <c r="E5">
        <v>550.4</v>
      </c>
      <c r="F5">
        <v>10</v>
      </c>
      <c r="G5">
        <v>12.043167022056799</v>
      </c>
      <c r="H5" t="b">
        <v>0</v>
      </c>
      <c r="I5">
        <v>0</v>
      </c>
      <c r="J5">
        <v>0</v>
      </c>
      <c r="K5">
        <v>3.0473588139586298</v>
      </c>
      <c r="L5">
        <v>2.9599342693570398</v>
      </c>
      <c r="M5">
        <v>87.424544601593098</v>
      </c>
      <c r="N5">
        <v>5.1482499775290496</v>
      </c>
      <c r="O5">
        <v>6.8615412306297596</v>
      </c>
      <c r="P5">
        <v>7.7317798062028</v>
      </c>
      <c r="Q5">
        <v>6.8922511486213303</v>
      </c>
      <c r="R5">
        <v>7.7624897241943698</v>
      </c>
      <c r="S5">
        <v>2.95582014980321</v>
      </c>
      <c r="T5">
        <v>3.0469241756676402</v>
      </c>
      <c r="U5" t="s">
        <v>29</v>
      </c>
      <c r="V5" t="str">
        <f t="shared" si="0"/>
        <v>Fresh ~3.05V</v>
      </c>
      <c r="W5" s="5">
        <f t="shared" si="1"/>
        <v>0.20431670220567993</v>
      </c>
      <c r="X5" t="b">
        <f>AND(H5=FALSE,I5=0,J5=0,W5&lt;=Controls!$B$3)</f>
        <v>1</v>
      </c>
      <c r="Z5" t="b">
        <f t="shared" si="2"/>
        <v>1</v>
      </c>
      <c r="AA5">
        <f>L5-Controls!$B$2</f>
        <v>0.55993426935703994</v>
      </c>
      <c r="AB5" s="5">
        <f t="shared" si="3"/>
        <v>2.8688628395559839E-2</v>
      </c>
      <c r="AC5" t="str">
        <f>IF(Z5=FALSE,"INVALID",IF(tblATE[[#This Row],[vbat_min_V]]&gt;=Controls!$B$2,"PASS","FAIL"))</f>
        <v>PASS</v>
      </c>
    </row>
    <row r="6" spans="1:29" x14ac:dyDescent="0.2">
      <c r="A6" t="s">
        <v>30</v>
      </c>
      <c r="B6" t="s">
        <v>22</v>
      </c>
      <c r="C6">
        <v>5</v>
      </c>
      <c r="D6">
        <v>1</v>
      </c>
      <c r="E6">
        <v>550.4</v>
      </c>
      <c r="F6">
        <v>10</v>
      </c>
      <c r="G6">
        <v>9.8205830436199903</v>
      </c>
      <c r="H6" t="b">
        <v>0</v>
      </c>
      <c r="I6">
        <v>0</v>
      </c>
      <c r="J6">
        <v>0</v>
      </c>
      <c r="K6">
        <v>3.0445510579221402</v>
      </c>
      <c r="L6">
        <v>2.9599342693570398</v>
      </c>
      <c r="M6">
        <v>84.616788565099398</v>
      </c>
      <c r="N6">
        <v>5.4851249935478004</v>
      </c>
      <c r="O6">
        <v>6.8666539200204202</v>
      </c>
      <c r="P6">
        <v>7.8319481469730698</v>
      </c>
      <c r="Q6">
        <v>6.7971954972417201</v>
      </c>
      <c r="R6">
        <v>7.7624897241943698</v>
      </c>
      <c r="S6">
        <v>2.95582014980321</v>
      </c>
      <c r="T6">
        <v>3.0466056117980802</v>
      </c>
      <c r="U6" t="s">
        <v>31</v>
      </c>
      <c r="V6" t="str">
        <f t="shared" si="0"/>
        <v>Fresh ~3.05V</v>
      </c>
      <c r="W6" s="5">
        <f t="shared" si="1"/>
        <v>1.7941695638000965E-2</v>
      </c>
      <c r="X6" t="b">
        <f>AND(H6=FALSE,I6=0,J6=0,W6&lt;=Controls!$B$3)</f>
        <v>1</v>
      </c>
      <c r="Z6" t="b">
        <f t="shared" si="2"/>
        <v>1</v>
      </c>
      <c r="AA6">
        <f>L6-Controls!$B$2</f>
        <v>0.55993426935703994</v>
      </c>
      <c r="AB6" s="5">
        <f t="shared" si="3"/>
        <v>2.7792862381112133E-2</v>
      </c>
      <c r="AC6" t="str">
        <f>IF(Z6=FALSE,"INVALID",IF(tblATE[[#This Row],[vbat_min_V]]&gt;=Controls!$B$2,"PASS","FAIL"))</f>
        <v>PASS</v>
      </c>
    </row>
    <row r="7" spans="1:29" x14ac:dyDescent="0.2">
      <c r="A7" t="s">
        <v>32</v>
      </c>
      <c r="B7" t="s">
        <v>33</v>
      </c>
      <c r="C7">
        <v>1</v>
      </c>
      <c r="D7">
        <v>1</v>
      </c>
      <c r="E7">
        <v>550.4</v>
      </c>
      <c r="F7">
        <v>100</v>
      </c>
      <c r="G7">
        <v>98.241167026571901</v>
      </c>
      <c r="H7" t="b">
        <v>0</v>
      </c>
      <c r="I7">
        <v>0</v>
      </c>
      <c r="J7">
        <v>0</v>
      </c>
      <c r="K7">
        <v>3.0465122396294202</v>
      </c>
      <c r="L7">
        <v>2.9562726156839898</v>
      </c>
      <c r="M7">
        <v>90.239623945431703</v>
      </c>
      <c r="N7">
        <v>16.768959075883</v>
      </c>
      <c r="O7">
        <v>6.9814783728013703</v>
      </c>
      <c r="P7">
        <v>7.7032974345460801</v>
      </c>
      <c r="Q7">
        <v>7.04067066244966</v>
      </c>
      <c r="R7">
        <v>7.7624897241943698</v>
      </c>
      <c r="S7">
        <v>2.95249772437686</v>
      </c>
      <c r="T7">
        <v>3.0448223864593098</v>
      </c>
      <c r="U7" t="s">
        <v>34</v>
      </c>
      <c r="V7" t="str">
        <f t="shared" si="0"/>
        <v>Fresh ~3.05V</v>
      </c>
      <c r="W7" s="5">
        <f t="shared" si="1"/>
        <v>1.758832973428099E-2</v>
      </c>
      <c r="X7" t="b">
        <f>AND(H7=FALSE,I7=0,J7=0,W7&lt;=Controls!$B$3)</f>
        <v>1</v>
      </c>
      <c r="Z7" t="b">
        <f t="shared" si="2"/>
        <v>1</v>
      </c>
      <c r="AA7">
        <f>L7-Controls!$B$2</f>
        <v>0.55627261568398989</v>
      </c>
      <c r="AB7" s="5">
        <f t="shared" si="3"/>
        <v>2.962063397336244E-2</v>
      </c>
      <c r="AC7" t="str">
        <f>IF(Z7=FALSE,"INVALID",IF(tblATE[[#This Row],[vbat_min_V]]&gt;=Controls!$B$2,"PASS","FAIL"))</f>
        <v>PASS</v>
      </c>
    </row>
    <row r="8" spans="1:29" x14ac:dyDescent="0.2">
      <c r="A8" t="s">
        <v>35</v>
      </c>
      <c r="B8" t="s">
        <v>33</v>
      </c>
      <c r="C8">
        <v>2</v>
      </c>
      <c r="D8">
        <v>1</v>
      </c>
      <c r="E8">
        <v>550.4</v>
      </c>
      <c r="F8">
        <v>100</v>
      </c>
      <c r="G8">
        <v>99.932041950523796</v>
      </c>
      <c r="H8" t="b">
        <v>0</v>
      </c>
      <c r="I8">
        <v>0</v>
      </c>
      <c r="J8">
        <v>0</v>
      </c>
      <c r="K8">
        <v>3.0464803832424701</v>
      </c>
      <c r="L8">
        <v>2.9562726156839898</v>
      </c>
      <c r="M8">
        <v>90.207767558476206</v>
      </c>
      <c r="N8">
        <v>44.163583962954498</v>
      </c>
      <c r="O8">
        <v>7.0251112200349501</v>
      </c>
      <c r="P8">
        <v>8.2848498589797206</v>
      </c>
      <c r="Q8">
        <v>7.1428043809062602</v>
      </c>
      <c r="R8">
        <v>8.4025430198510307</v>
      </c>
      <c r="S8">
        <v>2.9521584961301701</v>
      </c>
      <c r="T8">
        <v>3.0445880406242298</v>
      </c>
      <c r="U8" t="s">
        <v>36</v>
      </c>
      <c r="V8" t="str">
        <f t="shared" si="0"/>
        <v>Fresh ~3.05V</v>
      </c>
      <c r="W8" s="5">
        <f t="shared" si="1"/>
        <v>6.7958049476203543E-4</v>
      </c>
      <c r="X8" t="b">
        <f>AND(H8=FALSE,I8=0,J8=0,W8&lt;=Controls!$B$3)</f>
        <v>1</v>
      </c>
      <c r="Z8" t="b">
        <f t="shared" si="2"/>
        <v>1</v>
      </c>
      <c r="AA8">
        <f>L8-Controls!$B$2</f>
        <v>0.55627261568398989</v>
      </c>
      <c r="AB8" s="5">
        <f t="shared" si="3"/>
        <v>2.9610486926052379E-2</v>
      </c>
      <c r="AC8" t="str">
        <f>IF(Z8=FALSE,"INVALID",IF(tblATE[[#This Row],[vbat_min_V]]&gt;=Controls!$B$2,"PASS","FAIL"))</f>
        <v>PASS</v>
      </c>
    </row>
    <row r="9" spans="1:29" x14ac:dyDescent="0.2">
      <c r="A9" t="s">
        <v>37</v>
      </c>
      <c r="B9" t="s">
        <v>33</v>
      </c>
      <c r="C9">
        <v>3</v>
      </c>
      <c r="D9">
        <v>1</v>
      </c>
      <c r="E9">
        <v>550.4</v>
      </c>
      <c r="F9">
        <v>100</v>
      </c>
      <c r="G9">
        <v>100.14341701753401</v>
      </c>
      <c r="H9" t="b">
        <v>0</v>
      </c>
      <c r="I9">
        <v>0</v>
      </c>
      <c r="J9">
        <v>0</v>
      </c>
      <c r="K9">
        <v>3.0467985809466498</v>
      </c>
      <c r="L9">
        <v>2.9562726156839898</v>
      </c>
      <c r="M9">
        <v>90.5259652626644</v>
      </c>
      <c r="N9">
        <v>36.540542085468701</v>
      </c>
      <c r="O9">
        <v>7.0604743346151304</v>
      </c>
      <c r="P9">
        <v>7.9021619935066001</v>
      </c>
      <c r="Q9">
        <v>6.9208020653029001</v>
      </c>
      <c r="R9">
        <v>7.7624897241943698</v>
      </c>
      <c r="S9">
        <v>2.9521584961301701</v>
      </c>
      <c r="T9">
        <v>3.0446466270829999</v>
      </c>
      <c r="U9" t="s">
        <v>38</v>
      </c>
      <c r="V9" t="str">
        <f t="shared" si="0"/>
        <v>Fresh ~3.05V</v>
      </c>
      <c r="W9" s="5">
        <f t="shared" si="1"/>
        <v>1.4341701753400572E-3</v>
      </c>
      <c r="X9" t="b">
        <f>AND(H9=FALSE,I9=0,J9=0,W9&lt;=Controls!$B$3)</f>
        <v>1</v>
      </c>
      <c r="Z9" t="b">
        <f t="shared" si="2"/>
        <v>1</v>
      </c>
      <c r="AA9">
        <f>L9-Controls!$B$2</f>
        <v>0.55627261568398989</v>
      </c>
      <c r="AB9" s="5">
        <f t="shared" si="3"/>
        <v>2.9711831241085094E-2</v>
      </c>
      <c r="AC9" t="str">
        <f>IF(Z9=FALSE,"INVALID",IF(tblATE[[#This Row],[vbat_min_V]]&gt;=Controls!$B$2,"PASS","FAIL"))</f>
        <v>PASS</v>
      </c>
    </row>
    <row r="10" spans="1:29" x14ac:dyDescent="0.2">
      <c r="A10" t="s">
        <v>39</v>
      </c>
      <c r="B10" t="s">
        <v>33</v>
      </c>
      <c r="C10">
        <v>4</v>
      </c>
      <c r="D10">
        <v>1</v>
      </c>
      <c r="E10">
        <v>550.4</v>
      </c>
      <c r="F10">
        <v>100</v>
      </c>
      <c r="G10">
        <v>100.052833906374</v>
      </c>
      <c r="H10" t="b">
        <v>0</v>
      </c>
      <c r="I10">
        <v>0</v>
      </c>
      <c r="J10">
        <v>0</v>
      </c>
      <c r="K10">
        <v>3.0462983990549199</v>
      </c>
      <c r="L10">
        <v>2.9562726156839898</v>
      </c>
      <c r="M10">
        <v>90.025783370925694</v>
      </c>
      <c r="N10">
        <v>23.254374972730801</v>
      </c>
      <c r="O10">
        <v>6.9865912154602299</v>
      </c>
      <c r="P10">
        <v>8.1896099285860107</v>
      </c>
      <c r="Q10">
        <v>7.1995243067252597</v>
      </c>
      <c r="R10">
        <v>8.4025430198510307</v>
      </c>
      <c r="S10">
        <v>2.9521584961301701</v>
      </c>
      <c r="T10">
        <v>3.04395823619247</v>
      </c>
      <c r="U10" t="s">
        <v>40</v>
      </c>
      <c r="V10" t="str">
        <f t="shared" si="0"/>
        <v>Fresh ~3.05V</v>
      </c>
      <c r="W10" s="5">
        <f t="shared" si="1"/>
        <v>5.2833906374004868E-4</v>
      </c>
      <c r="X10" t="b">
        <f>AND(H10=FALSE,I10=0,J10=0,W10&lt;=Controls!$B$3)</f>
        <v>1</v>
      </c>
      <c r="Z10" t="b">
        <f t="shared" si="2"/>
        <v>1</v>
      </c>
      <c r="AA10">
        <f>L10-Controls!$B$2</f>
        <v>0.55627261568398989</v>
      </c>
      <c r="AB10" s="5">
        <f t="shared" si="3"/>
        <v>2.9552516391321081E-2</v>
      </c>
      <c r="AC10" t="str">
        <f>IF(Z10=FALSE,"INVALID",IF(tblATE[[#This Row],[vbat_min_V]]&gt;=Controls!$B$2,"PASS","FAIL"))</f>
        <v>PASS</v>
      </c>
    </row>
    <row r="11" spans="1:29" x14ac:dyDescent="0.2">
      <c r="A11" t="s">
        <v>41</v>
      </c>
      <c r="B11" t="s">
        <v>33</v>
      </c>
      <c r="C11">
        <v>5</v>
      </c>
      <c r="D11">
        <v>1</v>
      </c>
      <c r="E11">
        <v>550.4</v>
      </c>
      <c r="F11">
        <v>100</v>
      </c>
      <c r="G11">
        <v>99.247416947036896</v>
      </c>
      <c r="H11" t="b">
        <v>0</v>
      </c>
      <c r="I11">
        <v>0</v>
      </c>
      <c r="J11">
        <v>0</v>
      </c>
      <c r="K11">
        <v>3.0459915524771102</v>
      </c>
      <c r="L11">
        <v>2.9562726156839898</v>
      </c>
      <c r="M11">
        <v>89.7189367931243</v>
      </c>
      <c r="N11">
        <v>25.2147089749574</v>
      </c>
      <c r="O11">
        <v>7.0578551158514902</v>
      </c>
      <c r="P11">
        <v>7.80199365273634</v>
      </c>
      <c r="Q11">
        <v>7.0183511873095297</v>
      </c>
      <c r="R11">
        <v>7.7624897241943698</v>
      </c>
      <c r="S11">
        <v>2.9521584961301701</v>
      </c>
      <c r="T11">
        <v>3.0440387925732799</v>
      </c>
      <c r="U11" t="s">
        <v>42</v>
      </c>
      <c r="V11" t="str">
        <f t="shared" si="0"/>
        <v>Fresh ~3.05V</v>
      </c>
      <c r="W11" s="5">
        <f t="shared" si="1"/>
        <v>7.5258305296310368E-3</v>
      </c>
      <c r="X11" t="b">
        <f>AND(H11=FALSE,I11=0,J11=0,W11&lt;=Controls!$B$3)</f>
        <v>1</v>
      </c>
      <c r="Z11" t="b">
        <f t="shared" si="2"/>
        <v>1</v>
      </c>
      <c r="AA11">
        <f>L11-Controls!$B$2</f>
        <v>0.55627261568398989</v>
      </c>
      <c r="AB11" s="5">
        <f t="shared" si="3"/>
        <v>2.9454755618137426E-2</v>
      </c>
      <c r="AC11" t="str">
        <f>IF(Z11=FALSE,"INVALID",IF(tblATE[[#This Row],[vbat_min_V]]&gt;=Controls!$B$2,"PASS","FAIL"))</f>
        <v>PASS</v>
      </c>
    </row>
    <row r="12" spans="1:29" x14ac:dyDescent="0.2">
      <c r="A12" t="s">
        <v>43</v>
      </c>
      <c r="B12" t="s">
        <v>44</v>
      </c>
      <c r="C12">
        <v>1</v>
      </c>
      <c r="D12">
        <v>2</v>
      </c>
      <c r="E12">
        <v>329.5</v>
      </c>
      <c r="F12">
        <v>10</v>
      </c>
      <c r="G12">
        <v>8.7895418982952798</v>
      </c>
      <c r="H12" t="b">
        <v>0</v>
      </c>
      <c r="I12">
        <v>0</v>
      </c>
      <c r="J12">
        <v>0</v>
      </c>
      <c r="K12">
        <v>3.0471248342889199</v>
      </c>
      <c r="L12">
        <v>2.9306410399726501</v>
      </c>
      <c r="M12">
        <v>116.483794316268</v>
      </c>
      <c r="N12">
        <v>4.6609999806806401</v>
      </c>
      <c r="O12">
        <v>9.5107402225310995</v>
      </c>
      <c r="P12">
        <v>10.8760416211161</v>
      </c>
      <c r="Q12">
        <v>9.5974548038926297</v>
      </c>
      <c r="R12">
        <v>10.9627562024776</v>
      </c>
      <c r="S12">
        <v>2.9248307791853398</v>
      </c>
      <c r="T12">
        <v>3.0474844086796198</v>
      </c>
      <c r="U12" t="s">
        <v>45</v>
      </c>
      <c r="V12" t="str">
        <f t="shared" si="0"/>
        <v>Fresh ~3.05V</v>
      </c>
      <c r="W12" s="5">
        <f t="shared" si="1"/>
        <v>0.12104581017047203</v>
      </c>
      <c r="X12" t="b">
        <f>AND(H12=FALSE,I12=0,J12=0,W12&lt;=Controls!$B$3)</f>
        <v>1</v>
      </c>
      <c r="Z12" t="b">
        <f t="shared" si="2"/>
        <v>1</v>
      </c>
      <c r="AA12">
        <f>L12-Controls!$B$2</f>
        <v>0.53064103997265022</v>
      </c>
      <c r="AB12" s="5">
        <f t="shared" si="3"/>
        <v>3.822744411567594E-2</v>
      </c>
      <c r="AC12" t="str">
        <f>IF(Z12=FALSE,"INVALID",IF(tblATE[[#This Row],[vbat_min_V]]&gt;=Controls!$B$2,"PASS","FAIL"))</f>
        <v>PASS</v>
      </c>
    </row>
    <row r="13" spans="1:29" x14ac:dyDescent="0.2">
      <c r="A13" t="s">
        <v>46</v>
      </c>
      <c r="B13" t="s">
        <v>44</v>
      </c>
      <c r="C13">
        <v>2</v>
      </c>
      <c r="D13">
        <v>2</v>
      </c>
      <c r="E13">
        <v>329.5</v>
      </c>
      <c r="F13">
        <v>10</v>
      </c>
      <c r="G13">
        <v>10.750042041763599</v>
      </c>
      <c r="H13" t="b">
        <v>0</v>
      </c>
      <c r="I13">
        <v>0</v>
      </c>
      <c r="J13">
        <v>0</v>
      </c>
      <c r="K13">
        <v>3.0469351606286601</v>
      </c>
      <c r="L13">
        <v>2.9306410399726501</v>
      </c>
      <c r="M13">
        <v>116.29412065600501</v>
      </c>
      <c r="N13">
        <v>5.7465000473708097</v>
      </c>
      <c r="O13">
        <v>9.7066270375505006</v>
      </c>
      <c r="P13">
        <v>10.981970441547199</v>
      </c>
      <c r="Q13">
        <v>9.6874127984808496</v>
      </c>
      <c r="R13">
        <v>10.9627562024776</v>
      </c>
      <c r="S13">
        <v>2.9251700074320399</v>
      </c>
      <c r="T13">
        <v>3.04654336368564</v>
      </c>
      <c r="U13" t="s">
        <v>47</v>
      </c>
      <c r="V13" t="str">
        <f t="shared" si="0"/>
        <v>Fresh ~3.05V</v>
      </c>
      <c r="W13" s="5">
        <f t="shared" si="1"/>
        <v>7.5004204176359932E-2</v>
      </c>
      <c r="X13" t="b">
        <f>AND(H13=FALSE,I13=0,J13=0,W13&lt;=Controls!$B$3)</f>
        <v>1</v>
      </c>
      <c r="Z13" t="b">
        <f t="shared" si="2"/>
        <v>1</v>
      </c>
      <c r="AA13">
        <f>L13-Controls!$B$2</f>
        <v>0.53064103997265022</v>
      </c>
      <c r="AB13" s="5">
        <f t="shared" si="3"/>
        <v>3.8167573159650227E-2</v>
      </c>
      <c r="AC13" t="str">
        <f>IF(Z13=FALSE,"INVALID",IF(tblATE[[#This Row],[vbat_min_V]]&gt;=Controls!$B$2,"PASS","FAIL"))</f>
        <v>PASS</v>
      </c>
    </row>
    <row r="14" spans="1:29" x14ac:dyDescent="0.2">
      <c r="A14" t="s">
        <v>48</v>
      </c>
      <c r="B14" t="s">
        <v>44</v>
      </c>
      <c r="C14">
        <v>3</v>
      </c>
      <c r="D14">
        <v>2</v>
      </c>
      <c r="E14">
        <v>329.5</v>
      </c>
      <c r="F14">
        <v>10</v>
      </c>
      <c r="G14">
        <v>8.7257919367402792</v>
      </c>
      <c r="H14" t="b">
        <v>0</v>
      </c>
      <c r="I14">
        <v>0</v>
      </c>
      <c r="J14">
        <v>0</v>
      </c>
      <c r="K14">
        <v>3.0461944080905998</v>
      </c>
      <c r="L14">
        <v>2.9306410399726501</v>
      </c>
      <c r="M14">
        <v>115.553368117947</v>
      </c>
      <c r="N14">
        <v>4.5473750038072502</v>
      </c>
      <c r="O14">
        <v>9.6227884951823306</v>
      </c>
      <c r="P14">
        <v>10.9726256634307</v>
      </c>
      <c r="Q14">
        <v>9.6129190342292699</v>
      </c>
      <c r="R14">
        <v>10.9627562024776</v>
      </c>
      <c r="S14">
        <v>2.9251700074320399</v>
      </c>
      <c r="T14">
        <v>3.0464152058070901</v>
      </c>
      <c r="U14" t="s">
        <v>49</v>
      </c>
      <c r="V14" t="str">
        <f t="shared" si="0"/>
        <v>Fresh ~3.05V</v>
      </c>
      <c r="W14" s="5">
        <f t="shared" si="1"/>
        <v>0.12742080632597208</v>
      </c>
      <c r="X14" t="b">
        <f>AND(H14=FALSE,I14=0,J14=0,W14&lt;=Controls!$B$3)</f>
        <v>1</v>
      </c>
      <c r="Z14" t="b">
        <f t="shared" si="2"/>
        <v>1</v>
      </c>
      <c r="AA14">
        <f>L14-Controls!$B$2</f>
        <v>0.53064103997265022</v>
      </c>
      <c r="AB14" s="5">
        <f t="shared" si="3"/>
        <v>3.7933681386532907E-2</v>
      </c>
      <c r="AC14" t="str">
        <f>IF(Z14=FALSE,"INVALID",IF(tblATE[[#This Row],[vbat_min_V]]&gt;=Controls!$B$2,"PASS","FAIL"))</f>
        <v>PASS</v>
      </c>
    </row>
    <row r="15" spans="1:29" x14ac:dyDescent="0.2">
      <c r="A15" t="s">
        <v>50</v>
      </c>
      <c r="B15" t="s">
        <v>44</v>
      </c>
      <c r="C15">
        <v>4</v>
      </c>
      <c r="D15">
        <v>2</v>
      </c>
      <c r="E15">
        <v>329.5</v>
      </c>
      <c r="F15">
        <v>10</v>
      </c>
      <c r="G15">
        <v>10.8510000864043</v>
      </c>
      <c r="H15" t="b">
        <v>0</v>
      </c>
      <c r="I15">
        <v>0</v>
      </c>
      <c r="J15">
        <v>0</v>
      </c>
      <c r="K15">
        <v>3.0467872298202701</v>
      </c>
      <c r="L15">
        <v>2.9306410399726501</v>
      </c>
      <c r="M15">
        <v>116.146189847613</v>
      </c>
      <c r="N15">
        <v>4.7707080490514402</v>
      </c>
      <c r="O15">
        <v>9.5922270820087991</v>
      </c>
      <c r="P15">
        <v>10.940110956011299</v>
      </c>
      <c r="Q15">
        <v>9.6148723284750996</v>
      </c>
      <c r="R15">
        <v>10.9627562024776</v>
      </c>
      <c r="S15">
        <v>2.9251700074320399</v>
      </c>
      <c r="T15">
        <v>3.04586595775613</v>
      </c>
      <c r="U15" t="s">
        <v>51</v>
      </c>
      <c r="V15" t="str">
        <f t="shared" si="0"/>
        <v>Fresh ~3.05V</v>
      </c>
      <c r="W15" s="5">
        <f t="shared" si="1"/>
        <v>8.5100008640429964E-2</v>
      </c>
      <c r="X15" t="b">
        <f>AND(H15=FALSE,I15=0,J15=0,W15&lt;=Controls!$B$3)</f>
        <v>1</v>
      </c>
      <c r="Z15" t="b">
        <f t="shared" si="2"/>
        <v>1</v>
      </c>
      <c r="AA15">
        <f>L15-Controls!$B$2</f>
        <v>0.53064103997265022</v>
      </c>
      <c r="AB15" s="5">
        <f t="shared" si="3"/>
        <v>3.8120873263100971E-2</v>
      </c>
      <c r="AC15" t="str">
        <f>IF(Z15=FALSE,"INVALID",IF(tblATE[[#This Row],[vbat_min_V]]&gt;=Controls!$B$2,"PASS","FAIL"))</f>
        <v>PASS</v>
      </c>
    </row>
    <row r="16" spans="1:29" x14ac:dyDescent="0.2">
      <c r="A16" t="s">
        <v>52</v>
      </c>
      <c r="B16" t="s">
        <v>44</v>
      </c>
      <c r="C16">
        <v>5</v>
      </c>
      <c r="D16">
        <v>2</v>
      </c>
      <c r="E16">
        <v>329.5</v>
      </c>
      <c r="F16">
        <v>10</v>
      </c>
      <c r="G16">
        <v>10.513916960917401</v>
      </c>
      <c r="H16" t="b">
        <v>0</v>
      </c>
      <c r="I16">
        <v>0</v>
      </c>
      <c r="J16">
        <v>0</v>
      </c>
      <c r="K16">
        <v>3.04691026138368</v>
      </c>
      <c r="L16">
        <v>2.9269793862996099</v>
      </c>
      <c r="M16">
        <v>119.93087508407601</v>
      </c>
      <c r="N16">
        <v>9.8765419957414498</v>
      </c>
      <c r="O16">
        <v>9.6053888788473198</v>
      </c>
      <c r="P16">
        <v>10.4847770414812</v>
      </c>
      <c r="Q16">
        <v>9.4433147441871093</v>
      </c>
      <c r="R16">
        <v>10.322702906820901</v>
      </c>
      <c r="S16">
        <v>2.9218475820056899</v>
      </c>
      <c r="T16">
        <v>3.03474185389741</v>
      </c>
      <c r="U16" t="s">
        <v>53</v>
      </c>
      <c r="V16" t="str">
        <f t="shared" si="0"/>
        <v>Fresh ~3.05V</v>
      </c>
      <c r="W16" s="5">
        <f t="shared" si="1"/>
        <v>5.1391696091740081E-2</v>
      </c>
      <c r="X16" t="b">
        <f>AND(H16=FALSE,I16=0,J16=0,W16&lt;=Controls!$B$3)</f>
        <v>1</v>
      </c>
      <c r="Z16" t="b">
        <f t="shared" si="2"/>
        <v>1</v>
      </c>
      <c r="AA16">
        <f>L16-Controls!$B$2</f>
        <v>0.52697938629960994</v>
      </c>
      <c r="AB16" s="5">
        <f t="shared" si="3"/>
        <v>3.9361472703699621E-2</v>
      </c>
      <c r="AC16" t="str">
        <f>IF(Z16=FALSE,"INVALID",IF(tblATE[[#This Row],[vbat_min_V]]&gt;=Controls!$B$2,"PASS","FAIL"))</f>
        <v>PASS</v>
      </c>
    </row>
    <row r="17" spans="1:29" x14ac:dyDescent="0.2">
      <c r="A17" t="s">
        <v>54</v>
      </c>
      <c r="B17" t="s">
        <v>55</v>
      </c>
      <c r="C17">
        <v>1</v>
      </c>
      <c r="D17">
        <v>2</v>
      </c>
      <c r="E17">
        <v>329.5</v>
      </c>
      <c r="F17">
        <v>100</v>
      </c>
      <c r="G17">
        <v>101.425166008993</v>
      </c>
      <c r="H17" t="b">
        <v>0</v>
      </c>
      <c r="I17">
        <v>0</v>
      </c>
      <c r="J17">
        <v>0</v>
      </c>
      <c r="K17">
        <v>3.0460351261558198</v>
      </c>
      <c r="L17">
        <v>2.9233177326265598</v>
      </c>
      <c r="M17">
        <v>122.717393529265</v>
      </c>
      <c r="N17">
        <v>79.781708062477406</v>
      </c>
      <c r="O17">
        <v>9.7782025644552206</v>
      </c>
      <c r="P17">
        <v>11.0077005840326</v>
      </c>
      <c r="Q17">
        <v>9.7332581829001796</v>
      </c>
      <c r="R17">
        <v>10.9627562024776</v>
      </c>
      <c r="S17">
        <v>2.9181859283326399</v>
      </c>
      <c r="T17">
        <v>3.0441303339151</v>
      </c>
      <c r="U17" t="s">
        <v>56</v>
      </c>
      <c r="V17" t="str">
        <f t="shared" si="0"/>
        <v>Fresh ~3.05V</v>
      </c>
      <c r="W17" s="5">
        <f t="shared" si="1"/>
        <v>1.4251660089930028E-2</v>
      </c>
      <c r="X17" t="b">
        <f>AND(H17=FALSE,I17=0,J17=0,W17&lt;=Controls!$B$3)</f>
        <v>1</v>
      </c>
      <c r="Z17" t="b">
        <f t="shared" si="2"/>
        <v>1</v>
      </c>
      <c r="AA17">
        <f>L17-Controls!$B$2</f>
        <v>0.52331773262655989</v>
      </c>
      <c r="AB17" s="5">
        <f t="shared" si="3"/>
        <v>4.0287583184944332E-2</v>
      </c>
      <c r="AC17" t="str">
        <f>IF(Z17=FALSE,"INVALID",IF(tblATE[[#This Row],[vbat_min_V]]&gt;=Controls!$B$2,"PASS","FAIL"))</f>
        <v>PASS</v>
      </c>
    </row>
    <row r="18" spans="1:29" x14ac:dyDescent="0.2">
      <c r="A18" t="s">
        <v>57</v>
      </c>
      <c r="B18" t="s">
        <v>55</v>
      </c>
      <c r="C18">
        <v>2</v>
      </c>
      <c r="D18">
        <v>2</v>
      </c>
      <c r="E18">
        <v>329.5</v>
      </c>
      <c r="F18">
        <v>100</v>
      </c>
      <c r="G18">
        <v>98.983916919678407</v>
      </c>
      <c r="H18" t="b">
        <v>0</v>
      </c>
      <c r="I18">
        <v>0</v>
      </c>
      <c r="J18">
        <v>0</v>
      </c>
      <c r="K18">
        <v>3.0455437322329</v>
      </c>
      <c r="L18">
        <v>2.9233177326265598</v>
      </c>
      <c r="M18">
        <v>122.225999606342</v>
      </c>
      <c r="N18">
        <v>73.608333974666806</v>
      </c>
      <c r="O18">
        <v>9.7171382843533802</v>
      </c>
      <c r="P18">
        <v>10.899083539759699</v>
      </c>
      <c r="Q18">
        <v>9.7808109470712701</v>
      </c>
      <c r="R18">
        <v>10.9627562024776</v>
      </c>
      <c r="S18">
        <v>2.9178467000859398</v>
      </c>
      <c r="T18">
        <v>3.0436799505133201</v>
      </c>
      <c r="U18" t="s">
        <v>58</v>
      </c>
      <c r="V18" t="str">
        <f t="shared" si="0"/>
        <v>Fresh ~3.05V</v>
      </c>
      <c r="W18" s="5">
        <f t="shared" si="1"/>
        <v>1.016083080321593E-2</v>
      </c>
      <c r="X18" t="b">
        <f>AND(H18=FALSE,I18=0,J18=0,W18&lt;=Controls!$B$3)</f>
        <v>1</v>
      </c>
      <c r="Z18" t="b">
        <f t="shared" si="2"/>
        <v>1</v>
      </c>
      <c r="AA18">
        <f>L18-Controls!$B$2</f>
        <v>0.52331773262655989</v>
      </c>
      <c r="AB18" s="5">
        <f t="shared" si="3"/>
        <v>4.0132735022895112E-2</v>
      </c>
      <c r="AC18" t="str">
        <f>IF(Z18=FALSE,"INVALID",IF(tblATE[[#This Row],[vbat_min_V]]&gt;=Controls!$B$2,"PASS","FAIL"))</f>
        <v>PASS</v>
      </c>
    </row>
    <row r="19" spans="1:29" x14ac:dyDescent="0.2">
      <c r="A19" t="s">
        <v>59</v>
      </c>
      <c r="B19" t="s">
        <v>55</v>
      </c>
      <c r="C19">
        <v>3</v>
      </c>
      <c r="D19">
        <v>2</v>
      </c>
      <c r="E19">
        <v>329.5</v>
      </c>
      <c r="F19">
        <v>100</v>
      </c>
      <c r="G19">
        <v>100.794249912723</v>
      </c>
      <c r="H19" t="b">
        <v>0</v>
      </c>
      <c r="I19">
        <v>0</v>
      </c>
      <c r="J19">
        <v>0</v>
      </c>
      <c r="K19">
        <v>3.0435950001481</v>
      </c>
      <c r="L19">
        <v>2.9269793862996099</v>
      </c>
      <c r="M19">
        <v>116.615613848498</v>
      </c>
      <c r="N19">
        <v>11.385499969422799</v>
      </c>
      <c r="O19">
        <v>9.7554876537820601</v>
      </c>
      <c r="P19">
        <v>11.106908844859401</v>
      </c>
      <c r="Q19">
        <v>9.6113350114002305</v>
      </c>
      <c r="R19">
        <v>10.9627562024776</v>
      </c>
      <c r="S19">
        <v>2.9215083537589899</v>
      </c>
      <c r="T19">
        <v>3.04284875512954</v>
      </c>
      <c r="U19" t="s">
        <v>60</v>
      </c>
      <c r="V19" t="str">
        <f t="shared" si="0"/>
        <v>Fresh ~3.05V</v>
      </c>
      <c r="W19" s="5">
        <f t="shared" si="1"/>
        <v>7.942499127230036E-3</v>
      </c>
      <c r="X19" t="b">
        <f>AND(H19=FALSE,I19=0,J19=0,W19&lt;=Controls!$B$3)</f>
        <v>1</v>
      </c>
      <c r="Z19" t="b">
        <f t="shared" si="2"/>
        <v>1</v>
      </c>
      <c r="AA19">
        <f>L19-Controls!$B$2</f>
        <v>0.52697938629960994</v>
      </c>
      <c r="AB19" s="5">
        <f t="shared" si="3"/>
        <v>3.8315089176721454E-2</v>
      </c>
      <c r="AC19" t="str">
        <f>IF(Z19=FALSE,"INVALID",IF(tblATE[[#This Row],[vbat_min_V]]&gt;=Controls!$B$2,"PASS","FAIL"))</f>
        <v>PASS</v>
      </c>
    </row>
    <row r="20" spans="1:29" x14ac:dyDescent="0.2">
      <c r="A20" t="s">
        <v>61</v>
      </c>
      <c r="B20" t="s">
        <v>55</v>
      </c>
      <c r="C20">
        <v>4</v>
      </c>
      <c r="D20">
        <v>2</v>
      </c>
      <c r="E20">
        <v>329.5</v>
      </c>
      <c r="F20">
        <v>100</v>
      </c>
      <c r="G20">
        <v>100.258916034363</v>
      </c>
      <c r="H20" t="b">
        <v>0</v>
      </c>
      <c r="I20">
        <v>0</v>
      </c>
      <c r="J20">
        <v>0</v>
      </c>
      <c r="K20">
        <v>3.0454521908910701</v>
      </c>
      <c r="L20">
        <v>2.9123327716074101</v>
      </c>
      <c r="M20">
        <v>133.11941928366099</v>
      </c>
      <c r="N20">
        <v>96.080707997866</v>
      </c>
      <c r="O20">
        <v>10.425490256821901</v>
      </c>
      <c r="P20">
        <v>11.600261925151599</v>
      </c>
      <c r="Q20">
        <v>10.4280378298045</v>
      </c>
      <c r="R20">
        <v>11.602809498134301</v>
      </c>
      <c r="S20">
        <v>2.9065225108200998</v>
      </c>
      <c r="T20">
        <v>3.04369093547434</v>
      </c>
      <c r="U20" t="s">
        <v>62</v>
      </c>
      <c r="V20" t="str">
        <f t="shared" si="0"/>
        <v>Fresh ~3.05V</v>
      </c>
      <c r="W20" s="5">
        <f t="shared" si="1"/>
        <v>2.5891603436299705E-3</v>
      </c>
      <c r="X20" t="b">
        <f>AND(H20=FALSE,I20=0,J20=0,W20&lt;=Controls!$B$3)</f>
        <v>1</v>
      </c>
      <c r="Z20" t="b">
        <f t="shared" si="2"/>
        <v>1</v>
      </c>
      <c r="AA20">
        <f>L20-Controls!$B$2</f>
        <v>0.5123327716074102</v>
      </c>
      <c r="AB20" s="5">
        <f t="shared" si="3"/>
        <v>4.371088788778902E-2</v>
      </c>
      <c r="AC20" t="str">
        <f>IF(Z20=FALSE,"INVALID",IF(tblATE[[#This Row],[vbat_min_V]]&gt;=Controls!$B$2,"PASS","FAIL"))</f>
        <v>PASS</v>
      </c>
    </row>
    <row r="21" spans="1:29" x14ac:dyDescent="0.2">
      <c r="A21" t="s">
        <v>63</v>
      </c>
      <c r="B21" t="s">
        <v>55</v>
      </c>
      <c r="C21">
        <v>5</v>
      </c>
      <c r="D21">
        <v>2</v>
      </c>
      <c r="E21">
        <v>329.5</v>
      </c>
      <c r="F21">
        <v>100</v>
      </c>
      <c r="G21">
        <v>99.496582988649607</v>
      </c>
      <c r="H21" t="b">
        <v>0</v>
      </c>
      <c r="I21">
        <v>0</v>
      </c>
      <c r="J21">
        <v>0</v>
      </c>
      <c r="K21">
        <v>3.04506808342077</v>
      </c>
      <c r="L21">
        <v>2.9159944252804602</v>
      </c>
      <c r="M21">
        <v>129.07365814030899</v>
      </c>
      <c r="N21">
        <v>13.1209169633686</v>
      </c>
      <c r="O21">
        <v>10.7116289761074</v>
      </c>
      <c r="P21">
        <v>11.5018857336091</v>
      </c>
      <c r="Q21">
        <v>10.812552740632499</v>
      </c>
      <c r="R21">
        <v>11.602809498134301</v>
      </c>
      <c r="S21">
        <v>2.9098449362464498</v>
      </c>
      <c r="T21">
        <v>3.0437129053963798</v>
      </c>
      <c r="U21" t="s">
        <v>64</v>
      </c>
      <c r="V21" t="str">
        <f t="shared" si="0"/>
        <v>Fresh ~3.05V</v>
      </c>
      <c r="W21" s="5">
        <f t="shared" si="1"/>
        <v>5.034170113503933E-3</v>
      </c>
      <c r="X21" t="b">
        <f>AND(H21=FALSE,I21=0,J21=0,W21&lt;=Controls!$B$3)</f>
        <v>1</v>
      </c>
      <c r="Z21" t="b">
        <f t="shared" si="2"/>
        <v>1</v>
      </c>
      <c r="AA21">
        <f>L21-Controls!$B$2</f>
        <v>0.51599442528046024</v>
      </c>
      <c r="AB21" s="5">
        <f t="shared" si="3"/>
        <v>4.2387774133217468E-2</v>
      </c>
      <c r="AC21" t="str">
        <f>IF(Z21=FALSE,"INVALID",IF(tblATE[[#This Row],[vbat_min_V]]&gt;=Controls!$B$2,"PASS","FAIL"))</f>
        <v>PASS</v>
      </c>
    </row>
    <row r="22" spans="1:29" x14ac:dyDescent="0.2">
      <c r="A22" t="s">
        <v>65</v>
      </c>
      <c r="B22" t="s">
        <v>66</v>
      </c>
      <c r="C22">
        <v>1</v>
      </c>
      <c r="D22">
        <v>3</v>
      </c>
      <c r="E22">
        <v>220.3</v>
      </c>
      <c r="F22">
        <v>10</v>
      </c>
      <c r="G22">
        <v>11.308833025395799</v>
      </c>
      <c r="H22" t="b">
        <v>0</v>
      </c>
      <c r="I22">
        <v>0</v>
      </c>
      <c r="J22">
        <v>0</v>
      </c>
      <c r="K22">
        <v>3.0443057271260399</v>
      </c>
      <c r="L22">
        <v>2.8720545812038898</v>
      </c>
      <c r="M22">
        <v>172.25114592215701</v>
      </c>
      <c r="N22">
        <v>7.5003330283612204</v>
      </c>
      <c r="O22">
        <v>14.7666599068962</v>
      </c>
      <c r="P22">
        <v>16.056953022808798</v>
      </c>
      <c r="Q22">
        <v>14.792889451818199</v>
      </c>
      <c r="R22">
        <v>16.083182567730798</v>
      </c>
      <c r="S22">
        <v>2.86353049444299</v>
      </c>
      <c r="T22">
        <v>3.0444708677066998</v>
      </c>
      <c r="U22" t="s">
        <v>67</v>
      </c>
      <c r="V22" t="str">
        <f t="shared" si="0"/>
        <v>Fresh ~3.05V</v>
      </c>
      <c r="W22" s="5">
        <f t="shared" si="1"/>
        <v>0.13088330253957992</v>
      </c>
      <c r="X22" t="b">
        <f>AND(H22=FALSE,I22=0,J22=0,W22&lt;=Controls!$B$3)</f>
        <v>1</v>
      </c>
      <c r="Z22" t="b">
        <f t="shared" si="2"/>
        <v>1</v>
      </c>
      <c r="AA22">
        <f>L22-Controls!$B$2</f>
        <v>0.47205458120388988</v>
      </c>
      <c r="AB22" s="5">
        <f t="shared" si="3"/>
        <v>5.6581421631647283E-2</v>
      </c>
      <c r="AC22" t="str">
        <f>IF(Z22=FALSE,"INVALID",IF(tblATE[[#This Row],[vbat_min_V]]&gt;=Controls!$B$2,"PASS","FAIL"))</f>
        <v>PASS</v>
      </c>
    </row>
    <row r="23" spans="1:29" x14ac:dyDescent="0.2">
      <c r="A23" t="s">
        <v>68</v>
      </c>
      <c r="B23" t="s">
        <v>66</v>
      </c>
      <c r="C23">
        <v>2</v>
      </c>
      <c r="D23">
        <v>3</v>
      </c>
      <c r="E23">
        <v>220.3</v>
      </c>
      <c r="F23">
        <v>10</v>
      </c>
      <c r="G23">
        <v>10.0089999614283</v>
      </c>
      <c r="H23" t="b">
        <v>0</v>
      </c>
      <c r="I23">
        <v>0</v>
      </c>
      <c r="J23">
        <v>0</v>
      </c>
      <c r="K23">
        <v>3.04585643745658</v>
      </c>
      <c r="L23">
        <v>2.8720545812038898</v>
      </c>
      <c r="M23">
        <v>173.801856252693</v>
      </c>
      <c r="N23">
        <v>4.4033330344781501</v>
      </c>
      <c r="O23">
        <v>14.816646876449401</v>
      </c>
      <c r="P23">
        <v>16.085883431772501</v>
      </c>
      <c r="Q23">
        <v>14.813946012407699</v>
      </c>
      <c r="R23">
        <v>16.083182567730798</v>
      </c>
      <c r="S23">
        <v>2.86353049444299</v>
      </c>
      <c r="T23">
        <v>3.04503842402602</v>
      </c>
      <c r="U23" t="s">
        <v>69</v>
      </c>
      <c r="V23" t="str">
        <f t="shared" si="0"/>
        <v>Fresh ~3.05V</v>
      </c>
      <c r="W23" s="5">
        <f t="shared" si="1"/>
        <v>8.9999614282998408E-4</v>
      </c>
      <c r="X23" t="b">
        <f>AND(H23=FALSE,I23=0,J23=0,W23&lt;=Controls!$B$3)</f>
        <v>1</v>
      </c>
      <c r="Z23" t="b">
        <f t="shared" si="2"/>
        <v>1</v>
      </c>
      <c r="AA23">
        <f>L23-Controls!$B$2</f>
        <v>0.47205458120388988</v>
      </c>
      <c r="AB23" s="5">
        <f t="shared" si="3"/>
        <v>5.7061736106585825E-2</v>
      </c>
      <c r="AC23" t="str">
        <f>IF(Z23=FALSE,"INVALID",IF(tblATE[[#This Row],[vbat_min_V]]&gt;=Controls!$B$2,"PASS","FAIL"))</f>
        <v>PASS</v>
      </c>
    </row>
    <row r="24" spans="1:29" x14ac:dyDescent="0.2">
      <c r="A24" t="s">
        <v>70</v>
      </c>
      <c r="B24" t="s">
        <v>66</v>
      </c>
      <c r="C24">
        <v>3</v>
      </c>
      <c r="D24">
        <v>3</v>
      </c>
      <c r="E24">
        <v>220.3</v>
      </c>
      <c r="F24">
        <v>10</v>
      </c>
      <c r="G24">
        <v>11.358916060999</v>
      </c>
      <c r="H24" t="b">
        <v>0</v>
      </c>
      <c r="I24">
        <v>0</v>
      </c>
      <c r="J24">
        <v>0</v>
      </c>
      <c r="K24">
        <v>3.04561659914099</v>
      </c>
      <c r="L24">
        <v>2.8720545812038898</v>
      </c>
      <c r="M24">
        <v>173.56201793710801</v>
      </c>
      <c r="N24">
        <v>4.3058329940959803</v>
      </c>
      <c r="O24">
        <v>15.0575197179596</v>
      </c>
      <c r="P24">
        <v>16.706671123229899</v>
      </c>
      <c r="Q24">
        <v>15.0740844581172</v>
      </c>
      <c r="R24">
        <v>16.723235863387501</v>
      </c>
      <c r="S24">
        <v>2.86353049444299</v>
      </c>
      <c r="T24">
        <v>3.0456059803453401</v>
      </c>
      <c r="U24" t="s">
        <v>71</v>
      </c>
      <c r="V24" t="str">
        <f t="shared" si="0"/>
        <v>Fresh ~3.05V</v>
      </c>
      <c r="W24" s="5">
        <f t="shared" si="1"/>
        <v>0.13589160609990003</v>
      </c>
      <c r="X24" t="b">
        <f>AND(H24=FALSE,I24=0,J24=0,W24&lt;=Controls!$B$3)</f>
        <v>1</v>
      </c>
      <c r="Z24" t="b">
        <f t="shared" si="2"/>
        <v>1</v>
      </c>
      <c r="AA24">
        <f>L24-Controls!$B$2</f>
        <v>0.47205458120388988</v>
      </c>
      <c r="AB24" s="5">
        <f t="shared" si="3"/>
        <v>5.6987480954122996E-2</v>
      </c>
      <c r="AC24" t="str">
        <f>IF(Z24=FALSE,"INVALID",IF(tblATE[[#This Row],[vbat_min_V]]&gt;=Controls!$B$2,"PASS","FAIL"))</f>
        <v>PASS</v>
      </c>
    </row>
    <row r="25" spans="1:29" x14ac:dyDescent="0.2">
      <c r="A25" t="s">
        <v>72</v>
      </c>
      <c r="B25" t="s">
        <v>66</v>
      </c>
      <c r="C25">
        <v>4</v>
      </c>
      <c r="D25">
        <v>3</v>
      </c>
      <c r="E25">
        <v>220.3</v>
      </c>
      <c r="F25">
        <v>10</v>
      </c>
      <c r="G25">
        <v>10.6734160799533</v>
      </c>
      <c r="H25" t="b">
        <v>0</v>
      </c>
      <c r="I25">
        <v>0</v>
      </c>
      <c r="J25">
        <v>0</v>
      </c>
      <c r="K25">
        <v>3.04571839311311</v>
      </c>
      <c r="L25">
        <v>2.8720545812038898</v>
      </c>
      <c r="M25">
        <v>173.66381190921899</v>
      </c>
      <c r="N25">
        <v>4.3477910530194599</v>
      </c>
      <c r="O25">
        <v>14.9591486066612</v>
      </c>
      <c r="P25">
        <v>16.287244198586102</v>
      </c>
      <c r="Q25">
        <v>14.755086975806</v>
      </c>
      <c r="R25">
        <v>16.083182567730798</v>
      </c>
      <c r="S25">
        <v>2.8638697226896901</v>
      </c>
      <c r="T25">
        <v>3.0449322360695001</v>
      </c>
      <c r="U25" t="s">
        <v>73</v>
      </c>
      <c r="V25" t="str">
        <f t="shared" si="0"/>
        <v>Fresh ~3.05V</v>
      </c>
      <c r="W25" s="5">
        <f t="shared" si="1"/>
        <v>6.7341607995330038E-2</v>
      </c>
      <c r="X25" t="b">
        <f>AND(H25=FALSE,I25=0,J25=0,W25&lt;=Controls!$B$3)</f>
        <v>1</v>
      </c>
      <c r="Z25" t="b">
        <f t="shared" si="2"/>
        <v>1</v>
      </c>
      <c r="AA25">
        <f>L25-Controls!$B$2</f>
        <v>0.47205458120388988</v>
      </c>
      <c r="AB25" s="5">
        <f t="shared" si="3"/>
        <v>5.7018998309857717E-2</v>
      </c>
      <c r="AC25" t="str">
        <f>IF(Z25=FALSE,"INVALID",IF(tblATE[[#This Row],[vbat_min_V]]&gt;=Controls!$B$2,"PASS","FAIL"))</f>
        <v>PASS</v>
      </c>
    </row>
    <row r="26" spans="1:29" x14ac:dyDescent="0.2">
      <c r="A26" t="s">
        <v>74</v>
      </c>
      <c r="B26" t="s">
        <v>66</v>
      </c>
      <c r="C26">
        <v>5</v>
      </c>
      <c r="D26">
        <v>3</v>
      </c>
      <c r="E26">
        <v>220.3</v>
      </c>
      <c r="F26">
        <v>10</v>
      </c>
      <c r="G26">
        <v>10.6752500869333</v>
      </c>
      <c r="H26" t="b">
        <v>0</v>
      </c>
      <c r="I26">
        <v>0</v>
      </c>
      <c r="J26">
        <v>0</v>
      </c>
      <c r="K26">
        <v>3.04547452697848</v>
      </c>
      <c r="L26">
        <v>2.8683929275308402</v>
      </c>
      <c r="M26">
        <v>177.08159944764199</v>
      </c>
      <c r="N26">
        <v>7.9923750717937896</v>
      </c>
      <c r="O26">
        <v>14.931347386296</v>
      </c>
      <c r="P26">
        <v>16.153921097100799</v>
      </c>
      <c r="Q26">
        <v>14.860608856926</v>
      </c>
      <c r="R26">
        <v>16.083182567730798</v>
      </c>
      <c r="S26">
        <v>2.86020806901664</v>
      </c>
      <c r="T26">
        <v>3.0450970104847901</v>
      </c>
      <c r="U26" t="s">
        <v>75</v>
      </c>
      <c r="V26" t="str">
        <f t="shared" si="0"/>
        <v>Fresh ~3.05V</v>
      </c>
      <c r="W26" s="5">
        <f t="shared" si="1"/>
        <v>6.7525008693329974E-2</v>
      </c>
      <c r="X26" t="b">
        <f>AND(H26=FALSE,I26=0,J26=0,W26&lt;=Controls!$B$3)</f>
        <v>1</v>
      </c>
      <c r="Z26" t="b">
        <f t="shared" si="2"/>
        <v>1</v>
      </c>
      <c r="AA26">
        <f>L26-Controls!$B$2</f>
        <v>0.46839292753084028</v>
      </c>
      <c r="AB26" s="5">
        <f t="shared" si="3"/>
        <v>5.814581533319562E-2</v>
      </c>
      <c r="AC26" t="str">
        <f>IF(Z26=FALSE,"INVALID",IF(tblATE[[#This Row],[vbat_min_V]]&gt;=Controls!$B$2,"PASS","FAIL"))</f>
        <v>PASS</v>
      </c>
    </row>
    <row r="27" spans="1:29" x14ac:dyDescent="0.2">
      <c r="A27" t="s">
        <v>76</v>
      </c>
      <c r="B27" t="s">
        <v>22</v>
      </c>
      <c r="C27">
        <v>1</v>
      </c>
      <c r="D27">
        <v>1</v>
      </c>
      <c r="E27">
        <v>550.4</v>
      </c>
      <c r="F27">
        <v>10</v>
      </c>
      <c r="G27">
        <v>5.2655000472441298</v>
      </c>
      <c r="H27" t="b">
        <v>1</v>
      </c>
      <c r="I27">
        <v>0</v>
      </c>
      <c r="J27">
        <v>0</v>
      </c>
      <c r="K27">
        <v>2.9085491848670499</v>
      </c>
      <c r="L27">
        <v>2.38871629636155</v>
      </c>
      <c r="M27">
        <v>519.83288850550605</v>
      </c>
      <c r="N27">
        <v>5.0742080280557396</v>
      </c>
      <c r="O27">
        <v>5.43595757993441</v>
      </c>
      <c r="P27">
        <v>7.3937676607665201</v>
      </c>
      <c r="Q27">
        <v>5.1646263477056102</v>
      </c>
      <c r="R27">
        <v>7.1224364285377204</v>
      </c>
      <c r="S27">
        <v>2.3856198615478199</v>
      </c>
      <c r="T27">
        <v>2.90731996772901</v>
      </c>
      <c r="U27" t="s">
        <v>23</v>
      </c>
      <c r="V27" t="str">
        <f t="shared" si="0"/>
        <v>Aged ~2.90V</v>
      </c>
      <c r="W27" s="5">
        <f t="shared" si="1"/>
        <v>0.47344999527558701</v>
      </c>
      <c r="X27" t="b">
        <f>AND(H27=FALSE,I27=0,J27=0,W27&lt;=Controls!$B$3)</f>
        <v>0</v>
      </c>
      <c r="Z27" t="b">
        <f t="shared" si="2"/>
        <v>0</v>
      </c>
      <c r="AA27">
        <f>L27-Controls!$B$2</f>
        <v>-1.1283703638449882E-2</v>
      </c>
      <c r="AB27" s="5">
        <f t="shared" si="3"/>
        <v>0.17872583733847625</v>
      </c>
      <c r="AC27" t="str">
        <f>IF(Z27=FALSE,"INVALID",IF(tblATE[[#This Row],[vbat_min_V]]&gt;=Controls!$B$2,"PASS","FAIL"))</f>
        <v>INVALID</v>
      </c>
    </row>
    <row r="28" spans="1:29" x14ac:dyDescent="0.2">
      <c r="A28" t="s">
        <v>77</v>
      </c>
      <c r="B28" t="s">
        <v>22</v>
      </c>
      <c r="C28">
        <v>2</v>
      </c>
      <c r="D28">
        <v>1</v>
      </c>
      <c r="E28">
        <v>550.4</v>
      </c>
      <c r="F28">
        <v>10</v>
      </c>
      <c r="G28">
        <v>6.4458749257028103</v>
      </c>
      <c r="H28" t="b">
        <v>1</v>
      </c>
      <c r="I28">
        <v>0</v>
      </c>
      <c r="J28">
        <v>0</v>
      </c>
      <c r="K28">
        <v>2.9067611993784999</v>
      </c>
      <c r="L28">
        <v>2.3777313353423999</v>
      </c>
      <c r="M28">
        <v>529.029864036101</v>
      </c>
      <c r="N28">
        <v>6.0142499024048401</v>
      </c>
      <c r="O28">
        <v>4.7985703557961497</v>
      </c>
      <c r="P28">
        <v>7.12360116466985</v>
      </c>
      <c r="Q28">
        <v>4.79740561966402</v>
      </c>
      <c r="R28">
        <v>7.1224364285377204</v>
      </c>
      <c r="S28">
        <v>2.3749741287753698</v>
      </c>
      <c r="T28">
        <v>2.90704900535721</v>
      </c>
      <c r="U28" t="s">
        <v>25</v>
      </c>
      <c r="V28" t="str">
        <f t="shared" si="0"/>
        <v>Aged ~2.90V</v>
      </c>
      <c r="W28" s="5">
        <f t="shared" si="1"/>
        <v>0.35541250742971897</v>
      </c>
      <c r="X28" t="b">
        <f>AND(H28=FALSE,I28=0,J28=0,W28&lt;=Controls!$B$3)</f>
        <v>0</v>
      </c>
      <c r="Z28" t="b">
        <f t="shared" si="2"/>
        <v>0</v>
      </c>
      <c r="AA28">
        <f>L28-Controls!$B$2</f>
        <v>-2.2268664657600024E-2</v>
      </c>
      <c r="AB28" s="5">
        <f t="shared" si="3"/>
        <v>0.18199976804053042</v>
      </c>
      <c r="AC28" t="str">
        <f>IF(Z28=FALSE,"INVALID",IF(tblATE[[#This Row],[vbat_min_V]]&gt;=Controls!$B$2,"PASS","FAIL"))</f>
        <v>INVALID</v>
      </c>
    </row>
    <row r="29" spans="1:29" x14ac:dyDescent="0.2">
      <c r="A29" t="s">
        <v>78</v>
      </c>
      <c r="B29" t="s">
        <v>22</v>
      </c>
      <c r="C29">
        <v>3</v>
      </c>
      <c r="D29">
        <v>1</v>
      </c>
      <c r="E29">
        <v>550.4</v>
      </c>
      <c r="F29">
        <v>10</v>
      </c>
      <c r="G29">
        <v>6.9758750032633499</v>
      </c>
      <c r="H29" t="b">
        <v>1</v>
      </c>
      <c r="I29">
        <v>0</v>
      </c>
      <c r="J29">
        <v>0</v>
      </c>
      <c r="K29">
        <v>2.9087549698034798</v>
      </c>
      <c r="L29">
        <v>2.3777313353423999</v>
      </c>
      <c r="M29">
        <v>531.02363446107597</v>
      </c>
      <c r="N29">
        <v>5.7830419895052998</v>
      </c>
      <c r="O29">
        <v>4.7973525869070297</v>
      </c>
      <c r="P29">
        <v>6.6799162201206599</v>
      </c>
      <c r="Q29">
        <v>4.5998194996674497</v>
      </c>
      <c r="R29">
        <v>6.4823831328810702</v>
      </c>
      <c r="S29">
        <v>2.3749741287753698</v>
      </c>
      <c r="T29">
        <v>2.90741883237818</v>
      </c>
      <c r="U29" t="s">
        <v>27</v>
      </c>
      <c r="V29" t="str">
        <f t="shared" si="0"/>
        <v>Aged ~2.90V</v>
      </c>
      <c r="W29" s="5">
        <f t="shared" si="1"/>
        <v>0.30241249967366501</v>
      </c>
      <c r="X29" t="b">
        <f>AND(H29=FALSE,I29=0,J29=0,W29&lt;=Controls!$B$3)</f>
        <v>0</v>
      </c>
      <c r="Z29" t="b">
        <f t="shared" si="2"/>
        <v>0</v>
      </c>
      <c r="AA29">
        <f>L29-Controls!$B$2</f>
        <v>-2.2268664657600024E-2</v>
      </c>
      <c r="AB29" s="5">
        <f t="shared" si="3"/>
        <v>0.18256045626866699</v>
      </c>
      <c r="AC29" t="str">
        <f>IF(Z29=FALSE,"INVALID",IF(tblATE[[#This Row],[vbat_min_V]]&gt;=Controls!$B$2,"PASS","FAIL"))</f>
        <v>INVALID</v>
      </c>
    </row>
    <row r="30" spans="1:29" x14ac:dyDescent="0.2">
      <c r="A30" t="s">
        <v>79</v>
      </c>
      <c r="B30" t="s">
        <v>22</v>
      </c>
      <c r="C30">
        <v>4</v>
      </c>
      <c r="D30">
        <v>1</v>
      </c>
      <c r="E30">
        <v>550.4</v>
      </c>
      <c r="F30">
        <v>10</v>
      </c>
      <c r="G30">
        <v>5.41487499140203</v>
      </c>
      <c r="H30" t="b">
        <v>1</v>
      </c>
      <c r="I30">
        <v>0</v>
      </c>
      <c r="J30">
        <v>0</v>
      </c>
      <c r="K30">
        <v>2.9079735729096501</v>
      </c>
      <c r="L30">
        <v>2.3777313353423999</v>
      </c>
      <c r="M30">
        <v>530.24223756724803</v>
      </c>
      <c r="N30">
        <v>5.2020830509811802</v>
      </c>
      <c r="O30">
        <v>4.7072887318308299</v>
      </c>
      <c r="P30">
        <v>6.5506894597275798</v>
      </c>
      <c r="Q30">
        <v>4.6389824049843202</v>
      </c>
      <c r="R30">
        <v>6.4823831328810702</v>
      </c>
      <c r="S30">
        <v>2.3749741287753698</v>
      </c>
      <c r="T30">
        <v>2.9073785541877801</v>
      </c>
      <c r="U30" t="s">
        <v>29</v>
      </c>
      <c r="V30" t="str">
        <f t="shared" si="0"/>
        <v>Aged ~2.90V</v>
      </c>
      <c r="W30" s="5">
        <f t="shared" si="1"/>
        <v>0.458512500859797</v>
      </c>
      <c r="X30" t="b">
        <f>AND(H30=FALSE,I30=0,J30=0,W30&lt;=Controls!$B$3)</f>
        <v>0</v>
      </c>
      <c r="Z30" t="b">
        <f t="shared" si="2"/>
        <v>0</v>
      </c>
      <c r="AA30">
        <f>L30-Controls!$B$2</f>
        <v>-2.2268664657600024E-2</v>
      </c>
      <c r="AB30" s="5">
        <f t="shared" si="3"/>
        <v>0.18234080340582326</v>
      </c>
      <c r="AC30" t="str">
        <f>IF(Z30=FALSE,"INVALID",IF(tblATE[[#This Row],[vbat_min_V]]&gt;=Controls!$B$2,"PASS","FAIL"))</f>
        <v>INVALID</v>
      </c>
    </row>
    <row r="31" spans="1:29" x14ac:dyDescent="0.2">
      <c r="A31" t="s">
        <v>80</v>
      </c>
      <c r="B31" t="s">
        <v>22</v>
      </c>
      <c r="C31">
        <v>5</v>
      </c>
      <c r="D31">
        <v>1</v>
      </c>
      <c r="E31">
        <v>550.4</v>
      </c>
      <c r="F31">
        <v>10</v>
      </c>
      <c r="G31">
        <v>5.0978339277207798</v>
      </c>
      <c r="H31" t="b">
        <v>1</v>
      </c>
      <c r="I31">
        <v>0</v>
      </c>
      <c r="J31">
        <v>0</v>
      </c>
      <c r="K31">
        <v>2.9082877427948</v>
      </c>
      <c r="L31">
        <v>2.3813929890154499</v>
      </c>
      <c r="M31">
        <v>526.89475377934696</v>
      </c>
      <c r="N31">
        <v>4.6712089043483003</v>
      </c>
      <c r="O31">
        <v>5.03208018535567</v>
      </c>
      <c r="P31">
        <v>6.5832681724765001</v>
      </c>
      <c r="Q31">
        <v>4.9311951457602401</v>
      </c>
      <c r="R31">
        <v>6.4823831328810702</v>
      </c>
      <c r="S31">
        <v>2.3782965542017198</v>
      </c>
      <c r="T31">
        <v>2.9071698399284198</v>
      </c>
      <c r="U31" t="s">
        <v>31</v>
      </c>
      <c r="V31" t="str">
        <f t="shared" si="0"/>
        <v>Aged ~2.90V</v>
      </c>
      <c r="W31" s="5">
        <f t="shared" si="1"/>
        <v>0.49021660722792204</v>
      </c>
      <c r="X31" t="b">
        <f>AND(H31=FALSE,I31=0,J31=0,W31&lt;=Controls!$B$3)</f>
        <v>0</v>
      </c>
      <c r="Z31" t="b">
        <f t="shared" si="2"/>
        <v>0</v>
      </c>
      <c r="AA31">
        <f>L31-Controls!$B$2</f>
        <v>-1.8607010984549976E-2</v>
      </c>
      <c r="AB31" s="5">
        <f t="shared" si="3"/>
        <v>0.18117009057467359</v>
      </c>
      <c r="AC31" t="str">
        <f>IF(Z31=FALSE,"INVALID",IF(tblATE[[#This Row],[vbat_min_V]]&gt;=Controls!$B$2,"PASS","FAIL"))</f>
        <v>INVALID</v>
      </c>
    </row>
    <row r="32" spans="1:29" x14ac:dyDescent="0.2">
      <c r="A32" t="s">
        <v>81</v>
      </c>
      <c r="B32" t="s">
        <v>33</v>
      </c>
      <c r="C32">
        <v>1</v>
      </c>
      <c r="D32">
        <v>1</v>
      </c>
      <c r="E32">
        <v>550.4</v>
      </c>
      <c r="F32">
        <v>100</v>
      </c>
      <c r="G32">
        <v>5.9611670440062801</v>
      </c>
      <c r="H32" t="b">
        <v>1</v>
      </c>
      <c r="I32">
        <v>0</v>
      </c>
      <c r="J32">
        <v>0</v>
      </c>
      <c r="K32">
        <v>2.9088340615228199</v>
      </c>
      <c r="L32">
        <v>2.3740696816693498</v>
      </c>
      <c r="M32">
        <v>534.76437985346104</v>
      </c>
      <c r="N32">
        <v>5.2998330788686596</v>
      </c>
      <c r="O32">
        <v>5.0468116449332996</v>
      </c>
      <c r="P32">
        <v>6.6802362467684899</v>
      </c>
      <c r="Q32">
        <v>4.8489585310458896</v>
      </c>
      <c r="R32">
        <v>6.4823831328810702</v>
      </c>
      <c r="S32">
        <v>2.3713124751023198</v>
      </c>
      <c r="T32">
        <v>2.7179831796030398</v>
      </c>
      <c r="U32" t="s">
        <v>34</v>
      </c>
      <c r="V32" t="str">
        <f t="shared" si="0"/>
        <v>Aged ~2.90V</v>
      </c>
      <c r="W32" s="5">
        <f t="shared" si="1"/>
        <v>0.94038832955993723</v>
      </c>
      <c r="X32" t="b">
        <f>AND(H32=FALSE,I32=0,J32=0,W32&lt;=Controls!$B$3)</f>
        <v>0</v>
      </c>
      <c r="Z32" t="b">
        <f t="shared" si="2"/>
        <v>0</v>
      </c>
      <c r="AA32">
        <f>L32-Controls!$B$2</f>
        <v>-2.5930318330650071E-2</v>
      </c>
      <c r="AB32" s="5">
        <f t="shared" si="3"/>
        <v>0.18384148718799848</v>
      </c>
      <c r="AC32" t="str">
        <f>IF(Z32=FALSE,"INVALID",IF(tblATE[[#This Row],[vbat_min_V]]&gt;=Controls!$B$2,"PASS","FAIL"))</f>
        <v>INVALID</v>
      </c>
    </row>
    <row r="33" spans="1:29" x14ac:dyDescent="0.2">
      <c r="A33" t="s">
        <v>82</v>
      </c>
      <c r="B33" t="s">
        <v>33</v>
      </c>
      <c r="C33">
        <v>2</v>
      </c>
      <c r="D33">
        <v>1</v>
      </c>
      <c r="E33">
        <v>550.4</v>
      </c>
      <c r="F33">
        <v>100</v>
      </c>
      <c r="G33">
        <v>5.0983749097213096</v>
      </c>
      <c r="H33" t="b">
        <v>1</v>
      </c>
      <c r="I33">
        <v>0</v>
      </c>
      <c r="J33">
        <v>0</v>
      </c>
      <c r="K33">
        <v>2.9080068939580701</v>
      </c>
      <c r="L33">
        <v>2.3777313353423999</v>
      </c>
      <c r="M33">
        <v>530.27555861567203</v>
      </c>
      <c r="N33">
        <v>4.43199993044135</v>
      </c>
      <c r="O33">
        <v>4.8770768472380999</v>
      </c>
      <c r="P33">
        <v>6.5763555968834098</v>
      </c>
      <c r="Q33">
        <v>4.7831043832357603</v>
      </c>
      <c r="R33">
        <v>6.4823831328810702</v>
      </c>
      <c r="S33">
        <v>2.3749741287753698</v>
      </c>
      <c r="T33">
        <v>2.9077300729403901</v>
      </c>
      <c r="U33" t="s">
        <v>36</v>
      </c>
      <c r="V33" t="str">
        <f t="shared" si="0"/>
        <v>Aged ~2.90V</v>
      </c>
      <c r="W33" s="5">
        <f t="shared" si="1"/>
        <v>0.94901625090278685</v>
      </c>
      <c r="X33" t="b">
        <f>AND(H33=FALSE,I33=0,J33=0,W33&lt;=Controls!$B$3)</f>
        <v>0</v>
      </c>
      <c r="Z33" t="b">
        <f t="shared" si="2"/>
        <v>0</v>
      </c>
      <c r="AA33">
        <f>L33-Controls!$B$2</f>
        <v>-2.2268664657600024E-2</v>
      </c>
      <c r="AB33" s="5">
        <f t="shared" si="3"/>
        <v>0.18235017245571836</v>
      </c>
      <c r="AC33" t="str">
        <f>IF(Z33=FALSE,"INVALID",IF(tblATE[[#This Row],[vbat_min_V]]&gt;=Controls!$B$2,"PASS","FAIL"))</f>
        <v>INVALID</v>
      </c>
    </row>
    <row r="34" spans="1:29" x14ac:dyDescent="0.2">
      <c r="A34" t="s">
        <v>83</v>
      </c>
      <c r="B34" t="s">
        <v>33</v>
      </c>
      <c r="C34">
        <v>3</v>
      </c>
      <c r="D34">
        <v>1</v>
      </c>
      <c r="E34">
        <v>550.4</v>
      </c>
      <c r="F34">
        <v>100</v>
      </c>
      <c r="G34">
        <v>6.1437080148607404</v>
      </c>
      <c r="H34" t="b">
        <v>1</v>
      </c>
      <c r="I34">
        <v>0</v>
      </c>
      <c r="J34">
        <v>0</v>
      </c>
      <c r="K34">
        <v>2.90711235196575</v>
      </c>
      <c r="L34">
        <v>2.36674637432326</v>
      </c>
      <c r="M34">
        <v>540.36597764249098</v>
      </c>
      <c r="N34">
        <v>5.8714160087704403</v>
      </c>
      <c r="O34">
        <v>5.0687506477097397</v>
      </c>
      <c r="P34">
        <v>6.7703557507969396</v>
      </c>
      <c r="Q34">
        <v>4.7807780297938702</v>
      </c>
      <c r="R34">
        <v>6.4823831328810702</v>
      </c>
      <c r="S34">
        <v>2.3639891677562299</v>
      </c>
      <c r="T34">
        <v>2.90667551668255</v>
      </c>
      <c r="U34" t="s">
        <v>38</v>
      </c>
      <c r="V34" t="str">
        <f t="shared" si="0"/>
        <v>Aged ~2.90V</v>
      </c>
      <c r="W34" s="5">
        <f t="shared" si="1"/>
        <v>0.93856291985139262</v>
      </c>
      <c r="X34" t="b">
        <f>AND(H34=FALSE,I34=0,J34=0,W34&lt;=Controls!$B$3)</f>
        <v>0</v>
      </c>
      <c r="Z34" t="b">
        <f t="shared" si="2"/>
        <v>0</v>
      </c>
      <c r="AA34">
        <f>L34-Controls!$B$2</f>
        <v>-3.3253625676739951E-2</v>
      </c>
      <c r="AB34" s="5">
        <f t="shared" si="3"/>
        <v>0.18587722530816631</v>
      </c>
      <c r="AC34" t="str">
        <f>IF(Z34=FALSE,"INVALID",IF(tblATE[[#This Row],[vbat_min_V]]&gt;=Controls!$B$2,"PASS","FAIL"))</f>
        <v>INVALID</v>
      </c>
    </row>
    <row r="35" spans="1:29" x14ac:dyDescent="0.2">
      <c r="A35" t="s">
        <v>84</v>
      </c>
      <c r="B35" t="s">
        <v>33</v>
      </c>
      <c r="C35">
        <v>4</v>
      </c>
      <c r="D35">
        <v>1</v>
      </c>
      <c r="E35">
        <v>550.4</v>
      </c>
      <c r="F35">
        <v>100</v>
      </c>
      <c r="G35">
        <v>5.21433399990201</v>
      </c>
      <c r="H35" t="b">
        <v>1</v>
      </c>
      <c r="I35">
        <v>0</v>
      </c>
      <c r="J35">
        <v>0</v>
      </c>
      <c r="K35">
        <v>2.9043573237421501</v>
      </c>
      <c r="L35">
        <v>2.3740696816693498</v>
      </c>
      <c r="M35">
        <v>530.28764207279301</v>
      </c>
      <c r="N35">
        <v>4.6995420338958303</v>
      </c>
      <c r="O35">
        <v>4.8428749317742401</v>
      </c>
      <c r="P35">
        <v>7.2470674454020196</v>
      </c>
      <c r="Q35">
        <v>4.7182439149099498</v>
      </c>
      <c r="R35">
        <v>7.1224364285377204</v>
      </c>
      <c r="S35">
        <v>2.3709732468556299</v>
      </c>
      <c r="T35">
        <v>2.9057784115326601</v>
      </c>
      <c r="U35" t="s">
        <v>40</v>
      </c>
      <c r="V35" t="str">
        <f t="shared" si="0"/>
        <v>Aged ~2.90V</v>
      </c>
      <c r="W35" s="5">
        <f t="shared" si="1"/>
        <v>0.9478566600009799</v>
      </c>
      <c r="X35" t="b">
        <f>AND(H35=FALSE,I35=0,J35=0,W35&lt;=Controls!$B$3)</f>
        <v>0</v>
      </c>
      <c r="Z35" t="b">
        <f t="shared" si="2"/>
        <v>0</v>
      </c>
      <c r="AA35">
        <f>L35-Controls!$B$2</f>
        <v>-2.5930318330650071E-2</v>
      </c>
      <c r="AB35" s="5">
        <f t="shared" si="3"/>
        <v>0.18258347130288302</v>
      </c>
      <c r="AC35" t="str">
        <f>IF(Z35=FALSE,"INVALID",IF(tblATE[[#This Row],[vbat_min_V]]&gt;=Controls!$B$2,"PASS","FAIL"))</f>
        <v>INVALID</v>
      </c>
    </row>
    <row r="36" spans="1:29" x14ac:dyDescent="0.2">
      <c r="A36" t="s">
        <v>85</v>
      </c>
      <c r="B36" t="s">
        <v>33</v>
      </c>
      <c r="C36">
        <v>5</v>
      </c>
      <c r="D36">
        <v>1</v>
      </c>
      <c r="E36">
        <v>550.4</v>
      </c>
      <c r="F36">
        <v>100</v>
      </c>
      <c r="G36">
        <v>5.19537506625056</v>
      </c>
      <c r="H36" t="b">
        <v>1</v>
      </c>
      <c r="I36">
        <v>0</v>
      </c>
      <c r="J36">
        <v>0</v>
      </c>
      <c r="K36">
        <v>2.9082635758805599</v>
      </c>
      <c r="L36">
        <v>2.37040802799631</v>
      </c>
      <c r="M36">
        <v>537.85554788424895</v>
      </c>
      <c r="N36">
        <v>5.0325830503925504</v>
      </c>
      <c r="O36">
        <v>5.0857896349844198</v>
      </c>
      <c r="P36">
        <v>6.5320639088239698</v>
      </c>
      <c r="Q36">
        <v>5.0361088590415202</v>
      </c>
      <c r="R36">
        <v>6.4823831328810702</v>
      </c>
      <c r="S36">
        <v>2.36765082142928</v>
      </c>
      <c r="T36">
        <v>2.9071844865431098</v>
      </c>
      <c r="U36" t="s">
        <v>42</v>
      </c>
      <c r="V36" t="str">
        <f t="shared" si="0"/>
        <v>Aged ~2.90V</v>
      </c>
      <c r="W36" s="5">
        <f t="shared" si="1"/>
        <v>0.94804624933749437</v>
      </c>
      <c r="X36" t="b">
        <f>AND(H36=FALSE,I36=0,J36=0,W36&lt;=Controls!$B$3)</f>
        <v>0</v>
      </c>
      <c r="Z36" t="b">
        <f t="shared" si="2"/>
        <v>0</v>
      </c>
      <c r="AA36">
        <f>L36-Controls!$B$2</f>
        <v>-2.9591972003689904E-2</v>
      </c>
      <c r="AB36" s="5">
        <f t="shared" si="3"/>
        <v>0.18494044086818981</v>
      </c>
      <c r="AC36" t="str">
        <f>IF(Z36=FALSE,"INVALID",IF(tblATE[[#This Row],[vbat_min_V]]&gt;=Controls!$B$2,"PASS","FAIL"))</f>
        <v>INVALID</v>
      </c>
    </row>
    <row r="37" spans="1:29" x14ac:dyDescent="0.2">
      <c r="A37" t="s">
        <v>86</v>
      </c>
      <c r="B37" t="s">
        <v>44</v>
      </c>
      <c r="C37">
        <v>1</v>
      </c>
      <c r="D37">
        <v>2</v>
      </c>
      <c r="E37">
        <v>329.5</v>
      </c>
      <c r="F37">
        <v>10</v>
      </c>
      <c r="G37">
        <v>5.1965829916298301</v>
      </c>
      <c r="H37" t="b">
        <v>1</v>
      </c>
      <c r="I37">
        <v>0</v>
      </c>
      <c r="J37">
        <v>0</v>
      </c>
      <c r="K37">
        <v>2.90840491571233</v>
      </c>
      <c r="L37">
        <v>2.3044982618814398</v>
      </c>
      <c r="M37">
        <v>603.90665383089299</v>
      </c>
      <c r="N37">
        <v>4.5029159695655299</v>
      </c>
      <c r="O37">
        <v>6.1778534915206897</v>
      </c>
      <c r="P37">
        <v>9.0531698350859706</v>
      </c>
      <c r="Q37">
        <v>6.1672799719424098</v>
      </c>
      <c r="R37">
        <v>9.0425963155076801</v>
      </c>
      <c r="S37">
        <v>2.3007233705743202</v>
      </c>
      <c r="T37">
        <v>2.90767148648162</v>
      </c>
      <c r="U37" t="s">
        <v>45</v>
      </c>
      <c r="V37" t="str">
        <f t="shared" si="0"/>
        <v>Aged ~2.90V</v>
      </c>
      <c r="W37" s="5">
        <f t="shared" si="1"/>
        <v>0.48034170083701699</v>
      </c>
      <c r="X37" t="b">
        <f>AND(H37=FALSE,I37=0,J37=0,W37&lt;=Controls!$B$3)</f>
        <v>0</v>
      </c>
      <c r="Z37" t="b">
        <f t="shared" si="2"/>
        <v>0</v>
      </c>
      <c r="AA37">
        <f>L37-Controls!$B$2</f>
        <v>-9.5501738118560109E-2</v>
      </c>
      <c r="AB37" s="5">
        <f t="shared" si="3"/>
        <v>0.20764187633171549</v>
      </c>
      <c r="AC37" t="str">
        <f>IF(Z37=FALSE,"INVALID",IF(tblATE[[#This Row],[vbat_min_V]]&gt;=Controls!$B$2,"PASS","FAIL"))</f>
        <v>INVALID</v>
      </c>
    </row>
    <row r="38" spans="1:29" x14ac:dyDescent="0.2">
      <c r="A38" t="s">
        <v>87</v>
      </c>
      <c r="B38" t="s">
        <v>44</v>
      </c>
      <c r="C38">
        <v>2</v>
      </c>
      <c r="D38">
        <v>2</v>
      </c>
      <c r="E38">
        <v>329.5</v>
      </c>
      <c r="F38">
        <v>10</v>
      </c>
      <c r="G38">
        <v>5.2786669693887198</v>
      </c>
      <c r="H38" t="b">
        <v>1</v>
      </c>
      <c r="I38">
        <v>0</v>
      </c>
      <c r="J38">
        <v>0</v>
      </c>
      <c r="K38">
        <v>2.9066249858618698</v>
      </c>
      <c r="L38">
        <v>2.2971749545353499</v>
      </c>
      <c r="M38">
        <v>609.45003132652005</v>
      </c>
      <c r="N38">
        <v>4.5802499753236896</v>
      </c>
      <c r="O38">
        <v>5.9931118801048902</v>
      </c>
      <c r="P38">
        <v>8.5448395076754498</v>
      </c>
      <c r="Q38">
        <v>5.8508153922804702</v>
      </c>
      <c r="R38">
        <v>8.4025430198510307</v>
      </c>
      <c r="S38">
        <v>2.2934000632282201</v>
      </c>
      <c r="T38">
        <v>2.9055294190828902</v>
      </c>
      <c r="U38" t="s">
        <v>47</v>
      </c>
      <c r="V38" t="str">
        <f t="shared" si="0"/>
        <v>Aged ~2.90V</v>
      </c>
      <c r="W38" s="5">
        <f t="shared" si="1"/>
        <v>0.472133303061128</v>
      </c>
      <c r="X38" t="b">
        <f>AND(H38=FALSE,I38=0,J38=0,W38&lt;=Controls!$B$3)</f>
        <v>0</v>
      </c>
      <c r="Z38" t="b">
        <f t="shared" si="2"/>
        <v>0</v>
      </c>
      <c r="AA38">
        <f>L38-Controls!$B$2</f>
        <v>-0.10282504546464999</v>
      </c>
      <c r="AB38" s="5">
        <f t="shared" si="3"/>
        <v>0.20967618261418286</v>
      </c>
      <c r="AC38" t="str">
        <f>IF(Z38=FALSE,"INVALID",IF(tblATE[[#This Row],[vbat_min_V]]&gt;=Controls!$B$2,"PASS","FAIL"))</f>
        <v>INVALID</v>
      </c>
    </row>
    <row r="39" spans="1:29" x14ac:dyDescent="0.2">
      <c r="A39" t="s">
        <v>126</v>
      </c>
      <c r="B39" t="s">
        <v>127</v>
      </c>
      <c r="C39">
        <v>1</v>
      </c>
      <c r="D39">
        <v>0</v>
      </c>
      <c r="E39">
        <v>996</v>
      </c>
      <c r="F39">
        <v>10</v>
      </c>
      <c r="G39" s="10">
        <v>9.2352919746190292</v>
      </c>
      <c r="H39" t="b">
        <v>0</v>
      </c>
      <c r="I39">
        <v>0</v>
      </c>
      <c r="J39">
        <v>0</v>
      </c>
      <c r="K39" s="10">
        <v>2.9069428174006902</v>
      </c>
      <c r="L39" s="10">
        <v>2.50222756022603</v>
      </c>
      <c r="M39" s="10">
        <v>404.71525717465101</v>
      </c>
      <c r="N39" s="10">
        <v>8.2119590108096698</v>
      </c>
      <c r="O39" s="10">
        <v>2.7137384165099898</v>
      </c>
      <c r="P39" s="10">
        <v>4.0236310378159796</v>
      </c>
      <c r="Q39" s="10">
        <v>2.61227732894847</v>
      </c>
      <c r="R39">
        <v>3.9221699502544598</v>
      </c>
      <c r="S39" s="10">
        <v>2.5004880383991002</v>
      </c>
      <c r="T39" s="10">
        <v>2.9057015168055198</v>
      </c>
      <c r="U39" t="s">
        <v>128</v>
      </c>
      <c r="V39" t="str">
        <f>IF(K39&gt;=3,"Fresh ~3.05V","Aged ~2.90V")</f>
        <v>Aged ~2.90V</v>
      </c>
      <c r="W39" s="5">
        <f>ABS(G39-F39)/F39</f>
        <v>7.6470802538097085E-2</v>
      </c>
      <c r="X39" t="b">
        <f>AND(H39=FALSE,I39=0,J39=0,W39&lt;=Controls!$B$3)</f>
        <v>1</v>
      </c>
      <c r="Z39" t="b">
        <f t="shared" si="2"/>
        <v>1</v>
      </c>
      <c r="AA39">
        <f>L39-Controls!$B$2</f>
        <v>0.10222756022603008</v>
      </c>
      <c r="AB39" s="5">
        <f>M39/1000/K39</f>
        <v>0.13922367332169833</v>
      </c>
      <c r="AC39" t="str">
        <f>IF(Z39=FALSE,"INVALID",IF(tblATE[[#This Row],[vbat_min_V]]&gt;=Controls!$B$2,"PASS","FAIL"))</f>
        <v>PASS</v>
      </c>
    </row>
    <row r="40" spans="1:29" x14ac:dyDescent="0.2">
      <c r="A40" t="s">
        <v>129</v>
      </c>
      <c r="B40" t="s">
        <v>127</v>
      </c>
      <c r="C40">
        <v>2</v>
      </c>
      <c r="D40">
        <v>0</v>
      </c>
      <c r="E40">
        <v>996</v>
      </c>
      <c r="F40">
        <v>10</v>
      </c>
      <c r="G40" s="10">
        <v>11.8260419694706</v>
      </c>
      <c r="H40" t="b">
        <v>0</v>
      </c>
      <c r="I40">
        <v>0</v>
      </c>
      <c r="J40">
        <v>0</v>
      </c>
      <c r="K40" s="10">
        <v>2.9081464029630202</v>
      </c>
      <c r="L40" s="10">
        <v>2.4985659065529902</v>
      </c>
      <c r="M40" s="10">
        <v>409.58049641002998</v>
      </c>
      <c r="N40" s="10">
        <v>9.3176250549778494</v>
      </c>
      <c r="O40" s="10">
        <v>2.7275026454017999</v>
      </c>
      <c r="P40">
        <v>4.0985812787373801</v>
      </c>
      <c r="Q40" s="10">
        <v>2.55109131691888</v>
      </c>
      <c r="R40">
        <v>3.9221699502544598</v>
      </c>
      <c r="S40" s="10">
        <v>2.4968263847260501</v>
      </c>
      <c r="T40" s="10">
        <v>2.9072430730018799</v>
      </c>
      <c r="U40" t="s">
        <v>130</v>
      </c>
      <c r="V40" t="str">
        <f>IF(K40&gt;=3,"Fresh ~3.05V","Aged ~2.90V")</f>
        <v>Aged ~2.90V</v>
      </c>
      <c r="W40" s="5">
        <f>ABS(G40-F40)/F40</f>
        <v>0.18260419694705998</v>
      </c>
      <c r="X40" t="b">
        <f>AND(H40=FALSE,I40=0,J40=0,W40&lt;=Controls!$B$3)</f>
        <v>1</v>
      </c>
      <c r="Z40" t="b">
        <f t="shared" si="2"/>
        <v>1</v>
      </c>
      <c r="AA40">
        <f>L40-Controls!$B$2</f>
        <v>9.8565906552990246E-2</v>
      </c>
      <c r="AB40" s="5">
        <f>M40/1000/K40</f>
        <v>0.14083902240709789</v>
      </c>
      <c r="AC40" t="str">
        <f>IF(Z40=FALSE,"INVALID",IF(tblATE[[#This Row],[vbat_min_V]]&gt;=Controls!$B$2,"PASS","FAIL"))</f>
        <v>PASS</v>
      </c>
    </row>
    <row r="41" spans="1:29" x14ac:dyDescent="0.2">
      <c r="A41" t="s">
        <v>131</v>
      </c>
      <c r="B41" t="s">
        <v>127</v>
      </c>
      <c r="C41">
        <v>3</v>
      </c>
      <c r="D41">
        <v>0</v>
      </c>
      <c r="E41">
        <v>996</v>
      </c>
      <c r="F41">
        <v>10</v>
      </c>
      <c r="G41">
        <v>9.5280419336631894</v>
      </c>
      <c r="H41" t="b">
        <v>0</v>
      </c>
      <c r="I41">
        <v>0</v>
      </c>
      <c r="J41">
        <v>0</v>
      </c>
      <c r="K41" s="10">
        <v>2.9081669082235901</v>
      </c>
      <c r="L41" s="10">
        <v>2.50222756022603</v>
      </c>
      <c r="M41" s="10">
        <v>405.93934799755101</v>
      </c>
      <c r="N41" s="10">
        <v>7.8877919368445699</v>
      </c>
      <c r="O41" s="10">
        <v>2.6991330901231101</v>
      </c>
      <c r="P41" s="10">
        <v>3.8751386732236401</v>
      </c>
      <c r="Q41" s="10">
        <v>2.7461643671539302</v>
      </c>
      <c r="R41">
        <v>3.9221699502544598</v>
      </c>
      <c r="S41" s="10">
        <v>2.5004880383991002</v>
      </c>
      <c r="T41" s="10">
        <v>2.9068549377125299</v>
      </c>
      <c r="U41" t="s">
        <v>132</v>
      </c>
      <c r="V41" t="str">
        <f>IF(K41&gt;=3,"Fresh ~3.05V","Aged ~2.90V")</f>
        <v>Aged ~2.90V</v>
      </c>
      <c r="W41" s="5">
        <f>ABS(G41-F41)/F41</f>
        <v>4.7195806633681059E-2</v>
      </c>
      <c r="X41" t="b">
        <f>AND(H41=FALSE,I41=0,J41=0,W41&lt;=Controls!$B$3)</f>
        <v>1</v>
      </c>
      <c r="Z41" t="b">
        <f t="shared" si="2"/>
        <v>1</v>
      </c>
      <c r="AA41">
        <f>L41-Controls!$B$2</f>
        <v>0.10222756022603008</v>
      </c>
      <c r="AB41" s="5">
        <f>M41/1000/K41</f>
        <v>0.13958598691486829</v>
      </c>
      <c r="AC41" t="str">
        <f>IF(Z41=FALSE,"INVALID",IF(tblATE[[#This Row],[vbat_min_V]]&gt;=Controls!$B$2,"PASS","FAIL"))</f>
        <v>PASS</v>
      </c>
    </row>
    <row r="42" spans="1:29" x14ac:dyDescent="0.2">
      <c r="A42" t="s">
        <v>133</v>
      </c>
      <c r="B42" t="s">
        <v>127</v>
      </c>
      <c r="C42">
        <v>4</v>
      </c>
      <c r="D42">
        <v>0</v>
      </c>
      <c r="E42">
        <v>996</v>
      </c>
      <c r="F42">
        <v>10</v>
      </c>
      <c r="G42" s="10">
        <v>9.2662090901285392</v>
      </c>
      <c r="H42" t="b">
        <v>0</v>
      </c>
      <c r="I42">
        <v>0</v>
      </c>
      <c r="J42">
        <v>0</v>
      </c>
      <c r="K42" s="10">
        <v>2.9087319013853401</v>
      </c>
      <c r="L42" s="10">
        <v>2.4985659065529902</v>
      </c>
      <c r="M42" s="10">
        <v>410.16599483235098</v>
      </c>
      <c r="N42">
        <v>8.8418750094249603</v>
      </c>
      <c r="O42" s="10">
        <v>2.7148698059168601</v>
      </c>
      <c r="P42" s="10">
        <v>3.7912916914926198</v>
      </c>
      <c r="Q42" s="10">
        <v>2.8457480646787001</v>
      </c>
      <c r="R42">
        <v>3.9221699502544598</v>
      </c>
      <c r="S42" s="10">
        <v>2.4971656129727502</v>
      </c>
      <c r="T42" s="10">
        <v>2.90780696766753</v>
      </c>
      <c r="U42" t="s">
        <v>134</v>
      </c>
      <c r="V42" t="str">
        <f>IF(K42&gt;=3,"Fresh ~3.05V","Aged ~2.90V")</f>
        <v>Aged ~2.90V</v>
      </c>
      <c r="W42" s="5">
        <f>ABS(G42-F42)/F42</f>
        <v>7.3379090987146081E-2</v>
      </c>
      <c r="X42" t="b">
        <f>AND(H42=FALSE,I42=0,J42=0,W42&lt;=Controls!$B$3)</f>
        <v>1</v>
      </c>
      <c r="Z42" t="b">
        <f t="shared" si="2"/>
        <v>1</v>
      </c>
      <c r="AA42">
        <f>L42-Controls!$B$2</f>
        <v>9.8565906552990246E-2</v>
      </c>
      <c r="AB42" s="5">
        <f>M42/1000/K42</f>
        <v>0.14101196285467268</v>
      </c>
      <c r="AC42" t="str">
        <f>IF(Z42=FALSE,"INVALID",IF(tblATE[[#This Row],[vbat_min_V]]&gt;=Controls!$B$2,"PASS","FAIL"))</f>
        <v>PASS</v>
      </c>
    </row>
    <row r="43" spans="1:29" x14ac:dyDescent="0.2">
      <c r="A43" t="s">
        <v>135</v>
      </c>
      <c r="B43" t="s">
        <v>127</v>
      </c>
      <c r="C43">
        <v>5</v>
      </c>
      <c r="D43">
        <v>0</v>
      </c>
      <c r="E43">
        <v>996</v>
      </c>
      <c r="F43">
        <v>10</v>
      </c>
      <c r="G43" s="10">
        <v>9.5970419934019393</v>
      </c>
      <c r="H43" t="b">
        <v>0</v>
      </c>
      <c r="I43">
        <v>0</v>
      </c>
      <c r="J43">
        <v>0</v>
      </c>
      <c r="K43" s="10">
        <v>2.9086110668141298</v>
      </c>
      <c r="L43" s="10">
        <v>2.4985659065529902</v>
      </c>
      <c r="M43" s="10">
        <v>410.04516026113998</v>
      </c>
      <c r="N43" s="10">
        <v>9.1050840373337305</v>
      </c>
      <c r="O43" s="10">
        <v>2.7061826704785701</v>
      </c>
      <c r="P43" s="10">
        <v>3.9469526529963099</v>
      </c>
      <c r="Q43" s="10">
        <v>2.6813999677367102</v>
      </c>
      <c r="R43">
        <v>3.9221699502544598</v>
      </c>
      <c r="S43" s="10">
        <v>2.4971656129727502</v>
      </c>
      <c r="T43" s="10">
        <v>2.9074298173391999</v>
      </c>
      <c r="U43" t="s">
        <v>136</v>
      </c>
      <c r="V43" t="str">
        <f>IF(K43&gt;=3,"Fresh ~3.05V","Aged ~2.90V")</f>
        <v>Aged ~2.90V</v>
      </c>
      <c r="W43" s="5">
        <f>ABS(G43-F43)/F43</f>
        <v>4.0295800659806071E-2</v>
      </c>
      <c r="X43" t="b">
        <f>AND(H43=FALSE,I43=0,J43=0,W43&lt;=Controls!$B$3)</f>
        <v>1</v>
      </c>
      <c r="Z43" t="b">
        <f t="shared" si="2"/>
        <v>1</v>
      </c>
      <c r="AA43">
        <f>L43-Controls!$B$2</f>
        <v>9.8565906552990246E-2</v>
      </c>
      <c r="AB43" s="5">
        <f>M43/1000/K43</f>
        <v>0.14097627728215725</v>
      </c>
      <c r="AC43" t="str">
        <f>IF(Z43=FALSE,"INVALID",IF(tblATE[[#This Row],[vbat_min_V]]&gt;=Controls!$B$2,"PASS","FAIL"))</f>
        <v>PASS</v>
      </c>
    </row>
    <row r="44" spans="1:29" x14ac:dyDescent="0.2">
      <c r="A44" t="s">
        <v>137</v>
      </c>
      <c r="B44" t="s">
        <v>138</v>
      </c>
      <c r="C44">
        <v>1</v>
      </c>
      <c r="D44">
        <v>0</v>
      </c>
      <c r="E44">
        <v>996</v>
      </c>
      <c r="F44">
        <v>100</v>
      </c>
      <c r="G44" s="10">
        <v>99.077916005626307</v>
      </c>
      <c r="H44" t="b">
        <v>0</v>
      </c>
      <c r="I44">
        <v>0</v>
      </c>
      <c r="J44">
        <v>0</v>
      </c>
      <c r="K44" s="10">
        <v>2.9077568030122101</v>
      </c>
      <c r="L44" s="10">
        <v>2.4802576381877501</v>
      </c>
      <c r="M44" s="10">
        <v>427.49916482445798</v>
      </c>
      <c r="N44" s="10">
        <v>42.876958047225997</v>
      </c>
      <c r="O44" s="10">
        <v>2.6809928932679599</v>
      </c>
      <c r="P44" s="10">
        <v>3.8287348092885298</v>
      </c>
      <c r="Q44" s="10">
        <v>2.7744280342338898</v>
      </c>
      <c r="R44">
        <v>3.9221699502544598</v>
      </c>
      <c r="S44" s="10">
        <v>2.4785181163608101</v>
      </c>
      <c r="T44">
        <v>2.9013185173588898</v>
      </c>
      <c r="U44" t="s">
        <v>139</v>
      </c>
      <c r="V44" t="str">
        <f>IF(K44&gt;=3,"Fresh ~3.05V","Aged ~2.90V")</f>
        <v>Aged ~2.90V</v>
      </c>
      <c r="W44" s="5">
        <f>ABS(G44-F44)/F44</f>
        <v>9.2208399437369339E-3</v>
      </c>
      <c r="X44" t="b">
        <f>AND(H44=FALSE,I44=0,J44=0,W44&lt;=Controls!$B$3)</f>
        <v>1</v>
      </c>
      <c r="Z44" t="b">
        <f t="shared" si="2"/>
        <v>1</v>
      </c>
      <c r="AA44">
        <f>L44-Controls!$B$2</f>
        <v>8.0257638187750224E-2</v>
      </c>
      <c r="AB44" s="5">
        <f>M44/1000/K44</f>
        <v>0.14702026124798404</v>
      </c>
      <c r="AC44" t="str">
        <f>IF(Z44=FALSE,"INVALID",IF(tblATE[[#This Row],[vbat_min_V]]&gt;=Controls!$B$2,"PASS","FAIL"))</f>
        <v>PASS</v>
      </c>
    </row>
    <row r="45" spans="1:29" x14ac:dyDescent="0.2">
      <c r="A45" t="s">
        <v>140</v>
      </c>
      <c r="B45" t="s">
        <v>138</v>
      </c>
      <c r="C45">
        <v>2</v>
      </c>
      <c r="D45">
        <v>0</v>
      </c>
      <c r="E45">
        <v>996</v>
      </c>
      <c r="F45">
        <v>100</v>
      </c>
      <c r="G45" s="10">
        <v>100.074374931864</v>
      </c>
      <c r="H45" t="b">
        <v>0</v>
      </c>
      <c r="I45">
        <v>0</v>
      </c>
      <c r="J45">
        <v>0</v>
      </c>
      <c r="K45" s="10">
        <v>2.9062980001888601</v>
      </c>
      <c r="L45" s="10">
        <v>2.4802576381877501</v>
      </c>
      <c r="M45" s="10">
        <v>426.040362001115</v>
      </c>
      <c r="N45" s="10">
        <v>48.826666979007399</v>
      </c>
      <c r="O45" s="10">
        <v>2.72480819313293</v>
      </c>
      <c r="P45" s="10">
        <v>4.3325207582998804</v>
      </c>
      <c r="Q45" s="10">
        <v>2.9545106807441601</v>
      </c>
      <c r="R45" s="10">
        <v>4.5622232459111096</v>
      </c>
      <c r="S45" s="10">
        <v>2.47817888811411</v>
      </c>
      <c r="T45">
        <v>2.9003335325208401</v>
      </c>
      <c r="U45" t="s">
        <v>141</v>
      </c>
      <c r="V45" t="str">
        <f>IF(K45&gt;=3,"Fresh ~3.05V","Aged ~2.90V")</f>
        <v>Aged ~2.90V</v>
      </c>
      <c r="W45" s="5">
        <f>ABS(G45-F45)/F45</f>
        <v>7.4374931863999908E-4</v>
      </c>
      <c r="X45" t="b">
        <f>AND(H45=FALSE,I45=0,J45=0,W45&lt;=Controls!$B$3)</f>
        <v>1</v>
      </c>
      <c r="Z45" t="b">
        <f t="shared" si="2"/>
        <v>1</v>
      </c>
      <c r="AA45">
        <f>L45-Controls!$B$2</f>
        <v>8.0257638187750224E-2</v>
      </c>
      <c r="AB45" s="5">
        <f>M45/1000/K45</f>
        <v>0.14659211201791061</v>
      </c>
      <c r="AC45" t="str">
        <f>IF(Z45=FALSE,"INVALID",IF(tblATE[[#This Row],[vbat_min_V]]&gt;=Controls!$B$2,"PASS","FAIL"))</f>
        <v>PASS</v>
      </c>
    </row>
    <row r="46" spans="1:29" x14ac:dyDescent="0.2">
      <c r="A46" t="s">
        <v>142</v>
      </c>
      <c r="B46" t="s">
        <v>138</v>
      </c>
      <c r="C46">
        <v>3</v>
      </c>
      <c r="D46">
        <v>0</v>
      </c>
      <c r="E46">
        <v>996</v>
      </c>
      <c r="F46">
        <v>100</v>
      </c>
      <c r="G46" s="10">
        <v>102.38024999853199</v>
      </c>
      <c r="H46" t="b">
        <v>0</v>
      </c>
      <c r="I46">
        <v>0</v>
      </c>
      <c r="J46">
        <v>0</v>
      </c>
      <c r="K46" s="10">
        <v>2.77140597436208</v>
      </c>
      <c r="L46" s="10">
        <v>2.43265614043812</v>
      </c>
      <c r="M46" s="10">
        <v>338.74983392395598</v>
      </c>
      <c r="N46" s="10">
        <v>22.7463750055432</v>
      </c>
      <c r="O46" s="10">
        <v>2.6532749687682502</v>
      </c>
      <c r="P46" s="10">
        <v>3.3443424751355799</v>
      </c>
      <c r="Q46" s="10">
        <v>2.5910491482304798</v>
      </c>
      <c r="R46" s="10">
        <v>3.2821166545978002</v>
      </c>
      <c r="S46" s="10">
        <v>2.43125584685788</v>
      </c>
      <c r="T46" s="10">
        <v>2.8997366829721298</v>
      </c>
      <c r="U46" t="s">
        <v>143</v>
      </c>
      <c r="V46" t="str">
        <f>IF(K46&gt;=3,"Fresh ~3.05V","Aged ~2.90V")</f>
        <v>Aged ~2.90V</v>
      </c>
      <c r="W46" s="5">
        <f>ABS(G46-F46)/F46</f>
        <v>2.3802499985319941E-2</v>
      </c>
      <c r="X46" t="b">
        <f>AND(H46=FALSE,I46=0,J46=0,W46&lt;=Controls!$B$3)</f>
        <v>1</v>
      </c>
      <c r="Y46" t="s">
        <v>148</v>
      </c>
      <c r="Z46" t="b">
        <f t="shared" si="2"/>
        <v>0</v>
      </c>
      <c r="AA46">
        <f>L46-Controls!$B$2</f>
        <v>3.265614043812004E-2</v>
      </c>
      <c r="AB46" s="5">
        <f>M46/1000/K46</f>
        <v>0.1222303181337152</v>
      </c>
      <c r="AC46" t="str">
        <f>IF(Z46=FALSE,"INVALID",IF(tblATE[[#This Row],[vbat_min_V]]&gt;=Controls!$B$2,"PASS","FAIL"))</f>
        <v>INVALID</v>
      </c>
    </row>
    <row r="47" spans="1:29" x14ac:dyDescent="0.2">
      <c r="A47" t="s">
        <v>144</v>
      </c>
      <c r="B47" t="s">
        <v>138</v>
      </c>
      <c r="C47">
        <v>4</v>
      </c>
      <c r="D47">
        <v>0</v>
      </c>
      <c r="E47">
        <v>996</v>
      </c>
      <c r="F47">
        <v>100</v>
      </c>
      <c r="G47" s="10">
        <v>100.684541976079</v>
      </c>
      <c r="H47" t="b">
        <v>0</v>
      </c>
      <c r="I47">
        <v>0</v>
      </c>
      <c r="J47">
        <v>0</v>
      </c>
      <c r="K47" s="10">
        <v>2.9074364083158102</v>
      </c>
      <c r="L47" s="10">
        <v>2.4802576381877501</v>
      </c>
      <c r="M47" s="10">
        <v>427.17877012806599</v>
      </c>
      <c r="N47" s="10">
        <v>92.536916999407097</v>
      </c>
      <c r="O47" s="10">
        <v>2.6766258573494102</v>
      </c>
      <c r="P47" s="10">
        <v>3.8136295515110299</v>
      </c>
      <c r="Q47" s="10">
        <v>2.7851662560928299</v>
      </c>
      <c r="R47">
        <v>3.9221699502544598</v>
      </c>
      <c r="S47" s="10">
        <v>2.4785181163608101</v>
      </c>
      <c r="T47" s="10">
        <v>2.9011207880605401</v>
      </c>
      <c r="U47" t="s">
        <v>145</v>
      </c>
      <c r="V47" t="str">
        <f>IF(K47&gt;=3,"Fresh ~3.05V","Aged ~2.90V")</f>
        <v>Aged ~2.90V</v>
      </c>
      <c r="W47" s="5">
        <f>ABS(G47-F47)/F47</f>
        <v>6.845419760790037E-3</v>
      </c>
      <c r="X47" t="b">
        <f>AND(H47=FALSE,I47=0,J47=0,W47&lt;=Controls!$B$3)</f>
        <v>1</v>
      </c>
      <c r="Z47" t="b">
        <f t="shared" si="2"/>
        <v>1</v>
      </c>
      <c r="AA47">
        <f>L47-Controls!$B$2</f>
        <v>8.0257638187750224E-2</v>
      </c>
      <c r="AB47" s="5">
        <f>M47/1000/K47</f>
        <v>0.14692626428776054</v>
      </c>
      <c r="AC47" t="str">
        <f>IF(Z47=FALSE,"INVALID",IF(tblATE[[#This Row],[vbat_min_V]]&gt;=Controls!$B$2,"PASS","FAIL"))</f>
        <v>PASS</v>
      </c>
    </row>
    <row r="48" spans="1:29" x14ac:dyDescent="0.2">
      <c r="A48" t="s">
        <v>146</v>
      </c>
      <c r="B48" t="s">
        <v>138</v>
      </c>
      <c r="C48">
        <v>5</v>
      </c>
      <c r="D48">
        <v>0</v>
      </c>
      <c r="E48">
        <v>996</v>
      </c>
      <c r="F48">
        <v>100</v>
      </c>
      <c r="G48" s="10">
        <v>100.117999943904</v>
      </c>
      <c r="H48" t="b">
        <v>0</v>
      </c>
      <c r="I48">
        <v>0</v>
      </c>
      <c r="J48">
        <v>0</v>
      </c>
      <c r="K48" s="10">
        <v>2.9089241382031701</v>
      </c>
      <c r="L48" s="10">
        <v>2.4802576381877501</v>
      </c>
      <c r="M48" s="10">
        <v>428.66650001542502</v>
      </c>
      <c r="N48" s="10">
        <v>90.914875016808494</v>
      </c>
      <c r="O48">
        <v>2.6788770179256698</v>
      </c>
      <c r="P48" s="10">
        <v>3.9039410715281901</v>
      </c>
      <c r="Q48" s="10">
        <v>2.6971058966519301</v>
      </c>
      <c r="R48">
        <v>3.9221699502544598</v>
      </c>
      <c r="S48" s="10">
        <v>2.4788573446075102</v>
      </c>
      <c r="T48" s="10">
        <v>2.9019629684053401</v>
      </c>
      <c r="U48" t="s">
        <v>147</v>
      </c>
      <c r="V48" t="str">
        <f>IF(K48&gt;=3,"Fresh ~3.05V","Aged ~2.90V")</f>
        <v>Aged ~2.90V</v>
      </c>
      <c r="W48" s="5">
        <f>ABS(G48-F48)/F48</f>
        <v>1.1799994390399604E-3</v>
      </c>
      <c r="X48" t="b">
        <f>AND(H48=FALSE,I48=0,J48=0,W48&lt;=Controls!$B$3)</f>
        <v>1</v>
      </c>
      <c r="Z48" t="b">
        <f t="shared" si="2"/>
        <v>1</v>
      </c>
      <c r="AA48">
        <f>L48-Controls!$B$2</f>
        <v>8.0257638187750224E-2</v>
      </c>
      <c r="AB48" s="5">
        <f>M48/1000/K48</f>
        <v>0.14736255730622472</v>
      </c>
      <c r="AC48" t="str">
        <f>IF(Z48=FALSE,"INVALID",IF(tblATE[[#This Row],[vbat_min_V]]&gt;=Controls!$B$2,"PASS","FAIL"))</f>
        <v>PASS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1B16-C0AE-874B-B245-939D100AE9CE}">
  <dimension ref="A1:C9"/>
  <sheetViews>
    <sheetView workbookViewId="0">
      <selection activeCell="B6" sqref="B6"/>
    </sheetView>
  </sheetViews>
  <sheetFormatPr baseColWidth="10" defaultRowHeight="16" x14ac:dyDescent="0.2"/>
  <cols>
    <col min="1" max="1" width="28.1640625" customWidth="1"/>
    <col min="2" max="2" width="9" customWidth="1"/>
    <col min="3" max="3" width="6.6640625" customWidth="1"/>
  </cols>
  <sheetData>
    <row r="1" spans="1:3" x14ac:dyDescent="0.2">
      <c r="A1" s="1" t="s">
        <v>88</v>
      </c>
      <c r="B1" s="4" t="s">
        <v>89</v>
      </c>
    </row>
    <row r="2" spans="1:3" x14ac:dyDescent="0.2">
      <c r="A2" t="s">
        <v>90</v>
      </c>
      <c r="B2">
        <v>2.4</v>
      </c>
    </row>
    <row r="3" spans="1:3" x14ac:dyDescent="0.2">
      <c r="A3" t="s">
        <v>91</v>
      </c>
      <c r="B3" s="2">
        <v>0.25</v>
      </c>
      <c r="C3" s="1"/>
    </row>
    <row r="4" spans="1:3" x14ac:dyDescent="0.2">
      <c r="A4" t="s">
        <v>92</v>
      </c>
      <c r="B4">
        <v>2</v>
      </c>
    </row>
    <row r="5" spans="1:3" x14ac:dyDescent="0.2">
      <c r="A5" t="s">
        <v>93</v>
      </c>
      <c r="B5">
        <v>10.1</v>
      </c>
      <c r="C5" s="3"/>
    </row>
    <row r="6" spans="1:3" x14ac:dyDescent="0.2">
      <c r="A6" t="s">
        <v>161</v>
      </c>
      <c r="B6">
        <v>10</v>
      </c>
    </row>
    <row r="7" spans="1:3" x14ac:dyDescent="0.2">
      <c r="C7" s="1"/>
    </row>
    <row r="9" spans="1:3" x14ac:dyDescent="0.2"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E07D-9383-414B-AA07-6F2F0EBB534E}">
  <dimension ref="A1:J13"/>
  <sheetViews>
    <sheetView tabSelected="1" zoomScale="162" zoomScaleNormal="258" workbookViewId="0">
      <selection activeCell="D1" sqref="A1:D1"/>
    </sheetView>
  </sheetViews>
  <sheetFormatPr baseColWidth="10" defaultRowHeight="16" x14ac:dyDescent="0.2"/>
  <cols>
    <col min="1" max="1" width="8.1640625" customWidth="1"/>
    <col min="2" max="2" width="15.33203125" customWidth="1"/>
    <col min="3" max="3" width="14.6640625" style="13" customWidth="1"/>
    <col min="4" max="4" width="13.83203125" style="14" customWidth="1"/>
    <col min="5" max="5" width="10.83203125" style="15"/>
    <col min="6" max="6" width="10.83203125" style="14"/>
    <col min="9" max="9" width="29.6640625" customWidth="1"/>
  </cols>
  <sheetData>
    <row r="1" spans="1:10" x14ac:dyDescent="0.2">
      <c r="A1" t="s">
        <v>162</v>
      </c>
    </row>
    <row r="2" spans="1:10" x14ac:dyDescent="0.2">
      <c r="A2" t="s">
        <v>113</v>
      </c>
      <c r="B2" t="s">
        <v>114</v>
      </c>
      <c r="C2" s="13" t="s">
        <v>115</v>
      </c>
      <c r="D2" s="14" t="s">
        <v>116</v>
      </c>
      <c r="E2" s="15" t="s">
        <v>150</v>
      </c>
      <c r="F2" s="14" t="s">
        <v>151</v>
      </c>
      <c r="G2" t="s">
        <v>152</v>
      </c>
      <c r="I2" t="s">
        <v>153</v>
      </c>
    </row>
    <row r="3" spans="1:10" x14ac:dyDescent="0.2">
      <c r="A3" t="s">
        <v>125</v>
      </c>
      <c r="B3" t="s">
        <v>117</v>
      </c>
      <c r="C3" s="13">
        <f>GETPIVOTDATA("Average of avg_added_current_mA",Test_Summary!$A$3,"test_name","550ohm_10ms","Battery_Condition","Fresh ~3.05V")</f>
        <v>6.7888107121451053</v>
      </c>
      <c r="D3" s="14">
        <f>GETPIVOTDATA("Average of vbat_min_V",Test_Summary!$A$3,"test_name","550ohm_10ms","Battery_Condition","Fresh ~3.05V")</f>
        <v>2.9590188559387776</v>
      </c>
      <c r="E3" s="15">
        <f>GETPIVOTDATA("Average of battery_droop_mV",Test_Summary!$A$3,"test_name","550ohm_10ms","Battery_Condition","Fresh ~3.05V")</f>
        <v>87.039796341897244</v>
      </c>
      <c r="F3" s="14">
        <f>D3-Controls!$B$2</f>
        <v>0.55901885593877765</v>
      </c>
      <c r="G3" t="str">
        <f>IF(F3&gt;=0,"PASS","FAIL")</f>
        <v>PASS</v>
      </c>
      <c r="I3" t="s">
        <v>154</v>
      </c>
      <c r="J3" s="11">
        <f>Controls!B2</f>
        <v>2.4</v>
      </c>
    </row>
    <row r="4" spans="1:10" x14ac:dyDescent="0.2">
      <c r="A4" t="s">
        <v>125</v>
      </c>
      <c r="B4" t="s">
        <v>123</v>
      </c>
      <c r="C4" s="13">
        <f>GETPIVOTDATA("Average of avg_added_current_mA",Test_Summary!$A$3,"test_name","550ohm_100ms","Battery_Condition","Fresh ~3.05V")</f>
        <v>7.022302051752634</v>
      </c>
      <c r="D4" s="14">
        <f>GETPIVOTDATA("Average of vbat_min_V",Test_Summary!$A$3,"test_name","550ohm_100ms","Battery_Condition","Fresh ~3.05V")</f>
        <v>2.9562726156839898</v>
      </c>
      <c r="E4" s="15">
        <f>GETPIVOTDATA("Average of battery_droop_mV",Test_Summary!$A$3,"test_name","550ohm_100ms","Battery_Condition","Fresh ~3.05V")</f>
        <v>90.143615386124452</v>
      </c>
      <c r="F4" s="14">
        <f>D4-Controls!$B$2</f>
        <v>0.55627261568398989</v>
      </c>
      <c r="G4" t="str">
        <f t="shared" ref="G4:G9" si="0">IF(F4&gt;=0,"PASS","FAIL")</f>
        <v>PASS</v>
      </c>
      <c r="I4" t="s">
        <v>155</v>
      </c>
      <c r="J4">
        <f>C9</f>
        <v>2.6903259904189927</v>
      </c>
    </row>
    <row r="5" spans="1:10" x14ac:dyDescent="0.2">
      <c r="A5" t="s">
        <v>125</v>
      </c>
      <c r="B5" t="s">
        <v>122</v>
      </c>
      <c r="C5" s="13">
        <f>GETPIVOTDATA("Average of avg_added_current_mA",Test_Summary!$A$3,"test_name","329ohm_10ms","Battery_Condition","Fresh ~3.05V")</f>
        <v>9.6075543432240114</v>
      </c>
      <c r="D5" s="14">
        <f>GETPIVOTDATA("Average of vbat_min_V",Test_Summary!$A$3,"test_name","329ohm_10ms","Battery_Condition","Fresh ~3.05V")</f>
        <v>2.9299087092380423</v>
      </c>
      <c r="E5" s="15">
        <f>GETPIVOTDATA("Average of battery_droop_mV",Test_Summary!$A$3,"test_name","329ohm_10ms","Battery_Condition","Fresh ~3.05V")</f>
        <v>116.88166960438181</v>
      </c>
      <c r="F5" s="14">
        <f>D5-Controls!$B$2</f>
        <v>0.52990870923804234</v>
      </c>
      <c r="G5" t="str">
        <f t="shared" si="0"/>
        <v>PASS</v>
      </c>
      <c r="I5" t="s">
        <v>156</v>
      </c>
      <c r="J5">
        <f>D9</f>
        <v>2.4802576381877501</v>
      </c>
    </row>
    <row r="6" spans="1:10" x14ac:dyDescent="0.2">
      <c r="A6" t="s">
        <v>125</v>
      </c>
      <c r="B6" t="s">
        <v>121</v>
      </c>
      <c r="C6" s="13">
        <f>GETPIVOTDATA("Average of avg_added_current_mA",Test_Summary!$A$3,"test_name","329ohm_100ms","Battery_Condition","Fresh ~3.05V")</f>
        <v>10.077589547103994</v>
      </c>
      <c r="D6" s="14">
        <f>GETPIVOTDATA("Average of vbat_min_V",Test_Summary!$A$3,"test_name","329ohm_100ms","Battery_Condition","Fresh ~3.05V")</f>
        <v>2.9203884096881199</v>
      </c>
      <c r="E6" s="15">
        <f>GETPIVOTDATA("Average of battery_droop_mV",Test_Summary!$A$3,"test_name","329ohm_100ms","Battery_Condition","Fresh ~3.05V")</f>
        <v>124.750416881615</v>
      </c>
      <c r="F6" s="14">
        <f>D6-Controls!$B$2</f>
        <v>0.52038840968811995</v>
      </c>
      <c r="G6" t="str">
        <f t="shared" si="0"/>
        <v>PASS</v>
      </c>
      <c r="I6" t="s">
        <v>157</v>
      </c>
      <c r="J6" s="12">
        <f>Controls!B4</f>
        <v>2</v>
      </c>
    </row>
    <row r="7" spans="1:10" x14ac:dyDescent="0.2">
      <c r="A7" t="s">
        <v>125</v>
      </c>
      <c r="B7" t="s">
        <v>120</v>
      </c>
      <c r="C7" s="13">
        <f>GETPIVOTDATA("Average of avg_added_current_mA",Test_Summary!$A$3,"test_name","220ohm_10ms","Battery_Condition","Fresh ~3.05V")</f>
        <v>14.90626449885248</v>
      </c>
      <c r="D7" s="14">
        <f>GETPIVOTDATA("Average of vbat_min_V",Test_Summary!$A$3,"test_name","220ohm_10ms","Battery_Condition","Fresh ~3.05V")</f>
        <v>2.8713222504692797</v>
      </c>
      <c r="E7" s="15">
        <f>GETPIVOTDATA("Average of battery_droop_mV",Test_Summary!$A$3,"test_name","220ohm_10ms","Battery_Condition","Fresh ~3.05V")</f>
        <v>174.07208629376382</v>
      </c>
      <c r="F7" s="14">
        <f>D7-Controls!$B$2</f>
        <v>0.47132225046927978</v>
      </c>
      <c r="G7" t="str">
        <f t="shared" si="0"/>
        <v>PASS</v>
      </c>
      <c r="I7" t="s">
        <v>158</v>
      </c>
      <c r="J7">
        <f>Controls!B5</f>
        <v>10.1</v>
      </c>
    </row>
    <row r="8" spans="1:10" x14ac:dyDescent="0.2">
      <c r="A8" t="s">
        <v>124</v>
      </c>
      <c r="B8" t="s">
        <v>119</v>
      </c>
      <c r="C8" s="13">
        <f>GETPIVOTDATA("Average of avg_added_current_mA",Test_Summary!$A$3,"test_name","996ohm_10ms","Battery_Condition","Aged ~2.90V")</f>
        <v>2.7122853256860657</v>
      </c>
      <c r="D8" s="14">
        <f>GETPIVOTDATA("Average of vbat_min_V",Test_Summary!$A$3,"test_name","996ohm_10ms","Battery_Condition","Aged ~2.90V")</f>
        <v>2.5000305680222064</v>
      </c>
      <c r="E8" s="15">
        <f>GETPIVOTDATA("Average of battery_droop_mV",Test_Summary!$A$3,"test_name","996ohm_10ms","Battery_Condition","Aged ~2.90V")</f>
        <v>408.08925133514464</v>
      </c>
      <c r="F8" s="14">
        <f>D8-Controls!$B$2</f>
        <v>0.10003056802220645</v>
      </c>
      <c r="G8" t="str">
        <f t="shared" si="0"/>
        <v>PASS</v>
      </c>
      <c r="I8" t="s">
        <v>159</v>
      </c>
      <c r="J8">
        <f>Controls!B6</f>
        <v>10</v>
      </c>
    </row>
    <row r="9" spans="1:10" x14ac:dyDescent="0.2">
      <c r="A9" t="s">
        <v>124</v>
      </c>
      <c r="B9" t="s">
        <v>118</v>
      </c>
      <c r="C9" s="13">
        <f>GETPIVOTDATA("Average of avg_added_current_mA",Test_Summary!$A$3,"test_name","996ohm_100ms","Battery_Condition","Aged ~2.90V")</f>
        <v>2.6903259904189927</v>
      </c>
      <c r="D9" s="14">
        <f>GETPIVOTDATA("Average of vbat_min_V",Test_Summary!$A$3,"test_name","996ohm_100ms","Battery_Condition","Aged ~2.90V")</f>
        <v>2.4802576381877501</v>
      </c>
      <c r="E9" s="15">
        <f>GETPIVOTDATA("Average of battery_droop_mV",Test_Summary!$A$3,"test_name","996ohm_100ms","Battery_Condition","Aged ~2.90V")</f>
        <v>427.34619924226598</v>
      </c>
      <c r="F9" s="14">
        <f>D9-Controls!$B$2</f>
        <v>8.0257638187750224E-2</v>
      </c>
      <c r="G9" t="str">
        <f t="shared" si="0"/>
        <v>PASS</v>
      </c>
      <c r="I9" t="s">
        <v>152</v>
      </c>
      <c r="J9" t="s">
        <v>160</v>
      </c>
    </row>
    <row r="12" spans="1:10" x14ac:dyDescent="0.2">
      <c r="I12">
        <v>0</v>
      </c>
      <c r="J12">
        <f>Controls!B2</f>
        <v>2.4</v>
      </c>
    </row>
    <row r="13" spans="1:10" x14ac:dyDescent="0.2">
      <c r="I13">
        <v>20</v>
      </c>
      <c r="J13">
        <f>Controls!B2</f>
        <v>2.4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Test_Summary</vt:lpstr>
      <vt:lpstr>Raw_Data</vt:lpstr>
      <vt:lpstr>Controls</vt:lpstr>
      <vt:lpstr>Engineering_Summary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Hernandez</dc:creator>
  <cp:lastModifiedBy>Raul Hernandez</cp:lastModifiedBy>
  <dcterms:created xsi:type="dcterms:W3CDTF">2026-08-21T20:46:05Z</dcterms:created>
  <dcterms:modified xsi:type="dcterms:W3CDTF">2026-08-25T03:51:17Z</dcterms:modified>
</cp:coreProperties>
</file>